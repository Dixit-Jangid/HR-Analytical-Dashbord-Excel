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Wondershare\project\HR-Analytical-Dashbord-xl\"/>
    </mc:Choice>
  </mc:AlternateContent>
  <bookViews>
    <workbookView xWindow="0" yWindow="0" windowWidth="20490" windowHeight="7650"/>
  </bookViews>
  <sheets>
    <sheet name="Dashbord" sheetId="6" r:id="rId1"/>
    <sheet name="Data" sheetId="1" r:id="rId2"/>
    <sheet name="Questions &amp; KPIs" sheetId="2" r:id="rId3"/>
    <sheet name="Pivot" sheetId="5" r:id="rId4"/>
    <sheet name="Sheet1" sheetId="8" r:id="rId5"/>
  </sheets>
  <definedNames>
    <definedName name="Slicer_Gender_Value">#N/A</definedName>
    <definedName name="Slicer_Order_Mod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 i="5" l="1"/>
  <c r="K44" i="5"/>
  <c r="K45" i="5"/>
  <c r="K46" i="5"/>
  <c r="K47" i="5"/>
  <c r="J44" i="5"/>
  <c r="J45" i="5"/>
  <c r="J46" i="5"/>
  <c r="J47" i="5"/>
  <c r="J43" i="5"/>
  <c r="I6" i="8" l="1"/>
  <c r="J6" i="8"/>
  <c r="K6" i="8"/>
  <c r="L6" i="8"/>
  <c r="J7" i="8"/>
  <c r="K7" i="8"/>
  <c r="L7" i="8"/>
  <c r="J8" i="8"/>
  <c r="K8" i="8"/>
  <c r="L8" i="8"/>
  <c r="J9" i="8"/>
  <c r="K9" i="8"/>
  <c r="L9" i="8"/>
  <c r="J10" i="8"/>
  <c r="K10" i="8"/>
  <c r="L10" i="8"/>
  <c r="I7" i="8"/>
  <c r="I8" i="8"/>
  <c r="I9" i="8"/>
  <c r="I10" i="8"/>
  <c r="H7" i="8"/>
  <c r="H8" i="8"/>
  <c r="H9" i="8"/>
  <c r="H10" i="8"/>
  <c r="H6" i="8"/>
  <c r="K4" i="5" l="1"/>
  <c r="J4" i="5"/>
  <c r="H4" i="5"/>
  <c r="I4" i="5"/>
  <c r="G4"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<sst xmlns="http://schemas.openxmlformats.org/spreadsheetml/2006/main" count="14577" uniqueCount="2541">
  <si>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</si>
  <si>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</si>
  <si>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</si>
  <si>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</si>
  <si>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</si>
  <si>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</si>
  <si>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</si>
  <si>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</si>
  <si>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</si>
  <si>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</si>
  <si>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</si>
  <si>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</si>
  <si>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</si>
  <si>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</si>
  <si>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</si>
  <si>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</si>
  <si>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</si>
  <si>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</si>
  <si>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</si>
  <si>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</si>
  <si>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</si>
  <si>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</si>
  <si>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</si>
  <si>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</si>
  <si>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</si>
  <si>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</si>
  <si>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</si>
  <si>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</si>
  <si>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</si>
  <si>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</si>
  <si>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</si>
  <si>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</si>
  <si>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</si>
  <si>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</si>
  <si>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</si>
  <si>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</si>
  <si>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</si>
  <si>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</si>
  <si>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</si>
  <si>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</si>
  <si>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</si>
  <si>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</si>
  <si>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</si>
  <si>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</si>
  <si>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</si>
  <si>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</si>
  <si>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</si>
  <si>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</si>
  <si>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</si>
  <si>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</si>
  <si>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</si>
  <si>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</si>
  <si>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</si>
  <si>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</si>
  <si>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</si>
  <si>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</si>
  <si>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</si>
  <si>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</si>
  <si>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</si>
  <si>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</si>
  <si>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</si>
  <si>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</si>
  <si>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</si>
  <si>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</si>
  <si>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</si>
  <si>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</si>
  <si>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</si>
  <si>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</si>
  <si>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</si>
  <si>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</si>
  <si>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</si>
  <si>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</si>
  <si>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</si>
  <si>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</si>
  <si>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</si>
  <si>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</si>
  <si>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</si>
  <si>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</si>
  <si>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</si>
  <si>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</si>
  <si>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</si>
  <si>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</si>
  <si>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</si>
  <si>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</si>
  <si>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</si>
  <si>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</si>
  <si>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</si>
  <si>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</si>
  <si>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</si>
  <si>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</si>
  <si>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</si>
  <si>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</si>
  <si>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</si>
  <si>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</si>
  <si>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</si>
  <si>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</si>
  <si>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</si>
  <si>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</si>
  <si>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</si>
  <si>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</si>
  <si>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</si>
  <si>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</si>
  <si>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</si>
  <si>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</si>
  <si>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</si>
  <si>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</si>
  <si>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</si>
  <si>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</si>
  <si>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</si>
  <si>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</si>
  <si>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</si>
  <si>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</si>
  <si>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</si>
  <si>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</si>
  <si>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</si>
  <si>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</si>
  <si>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</si>
  <si>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</si>
  <si>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</si>
  <si>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</si>
  <si>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</si>
  <si>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</si>
  <si>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</si>
  <si>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</si>
  <si>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</si>
  <si>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</si>
  <si>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</si>
  <si>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</si>
  <si>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</si>
  <si>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</si>
  <si>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</si>
  <si>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</si>
  <si>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</si>
  <si>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</si>
  <si>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</si>
  <si>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</si>
  <si>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</si>
  <si>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</si>
  <si>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</si>
  <si>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</si>
  <si>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</si>
  <si>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</si>
  <si>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</si>
  <si>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</si>
  <si>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</si>
  <si>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</si>
  <si>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</si>
  <si>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</si>
  <si>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</si>
  <si>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</si>
  <si>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</si>
  <si>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</si>
  <si>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</si>
  <si>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</si>
  <si>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</si>
  <si>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</si>
  <si>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</si>
  <si>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</si>
  <si>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</si>
  <si>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</si>
  <si>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</si>
  <si>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</si>
  <si>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</si>
  <si>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</si>
  <si>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</si>
  <si>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</si>
  <si>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</si>
  <si>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</si>
  <si>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</si>
  <si>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</si>
  <si>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</si>
  <si>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</si>
  <si>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</si>
  <si>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</si>
  <si>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</si>
  <si>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</si>
  <si>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</si>
  <si>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</si>
  <si>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</si>
  <si>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</si>
  <si>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</si>
  <si>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</si>
  <si>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</si>
  <si>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</si>
  <si>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</si>
  <si>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</si>
  <si>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</si>
  <si>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</si>
  <si>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</si>
  <si>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</si>
  <si>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</si>
  <si>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</si>
  <si>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</si>
  <si>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</si>
  <si>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</si>
  <si>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</si>
  <si>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</si>
  <si>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</si>
  <si>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</si>
  <si>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</si>
  <si>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</si>
  <si>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</si>
  <si>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</si>
  <si>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</si>
  <si>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</si>
  <si>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</si>
  <si>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</si>
  <si>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</si>
  <si>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</si>
  <si>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</si>
  <si>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</si>
  <si>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</si>
  <si>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</si>
  <si>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</si>
  <si>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</si>
  <si>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</si>
  <si>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</si>
  <si>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</si>
  <si>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</si>
  <si>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</si>
  <si>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</si>
  <si>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</si>
  <si>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</si>
  <si>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</si>
  <si>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</si>
  <si>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</si>
  <si>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</si>
  <si>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</si>
  <si>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</si>
  <si>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</si>
  <si>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</si>
  <si>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</si>
  <si>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</si>
  <si>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</si>
  <si>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</si>
  <si>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</si>
  <si>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</si>
  <si>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</si>
  <si>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</si>
  <si>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</si>
  <si>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</si>
  <si>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</si>
  <si>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</si>
  <si>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</si>
  <si>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</si>
  <si>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</si>
  <si>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</si>
  <si>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</si>
  <si>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</si>
  <si>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</si>
  <si>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</si>
  <si>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</si>
  <si>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</si>
  <si>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</si>
  <si>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</si>
  <si>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</si>
  <si>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</si>
  <si>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</si>
  <si>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</si>
  <si>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</si>
  <si>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</si>
  <si>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</si>
  <si>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</si>
  <si>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</si>
  <si>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</si>
  <si>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</si>
  <si>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</si>
  <si>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</si>
  <si>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</si>
  <si>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</si>
  <si>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</si>
  <si>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</si>
  <si>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</si>
  <si>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</si>
  <si>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</si>
  <si>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</si>
  <si>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</si>
  <si>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</si>
  <si>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</si>
  <si>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</si>
  <si>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</si>
  <si>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</si>
  <si>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</si>
  <si>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</si>
  <si>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</si>
  <si>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</si>
  <si>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</si>
  <si>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</si>
  <si>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</si>
  <si>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</si>
  <si>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</si>
  <si>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</si>
  <si>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</si>
  <si>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</si>
  <si>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</si>
  <si>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</si>
  <si>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</si>
  <si>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</si>
  <si>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</si>
  <si>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</si>
  <si>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</si>
  <si>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</si>
  <si>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</si>
  <si>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</si>
  <si>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</si>
  <si>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</si>
  <si>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</si>
  <si>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</si>
  <si>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</si>
  <si>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</si>
  <si>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</si>
  <si>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</si>
  <si>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</si>
  <si>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</si>
  <si>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</si>
  <si>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</si>
  <si>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</si>
  <si>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</si>
  <si>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</si>
  <si>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</si>
  <si>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</si>
  <si>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</si>
  <si>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</si>
  <si>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</si>
  <si>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</si>
  <si>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</si>
  <si>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</si>
  <si>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</si>
  <si>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</si>
  <si>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</si>
  <si>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</si>
  <si>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</si>
  <si>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</si>
  <si>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</si>
  <si>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</si>
  <si>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</si>
  <si>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</si>
  <si>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</si>
  <si>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</si>
  <si>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</si>
  <si>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</si>
  <si>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</si>
  <si>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</si>
  <si>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</si>
  <si>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</si>
  <si>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</si>
  <si>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</si>
  <si>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</si>
  <si>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</si>
  <si>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</si>
  <si>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</si>
  <si>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</si>
  <si>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</si>
  <si>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</si>
  <si>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</si>
  <si>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</si>
  <si>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</si>
  <si>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</si>
  <si>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</si>
  <si>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</si>
  <si>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</si>
  <si>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</si>
  <si>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</si>
  <si>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</si>
  <si>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</si>
  <si>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</si>
  <si>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</si>
  <si>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</si>
  <si>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</si>
  <si>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</si>
  <si>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</si>
  <si>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</si>
  <si>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</si>
  <si>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</si>
  <si>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</si>
  <si>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</si>
  <si>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</si>
  <si>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</si>
  <si>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</si>
  <si>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</si>
  <si>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</si>
  <si>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</si>
  <si>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</si>
  <si>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</si>
  <si>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</si>
  <si>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</si>
  <si>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</si>
  <si>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</si>
  <si>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</si>
  <si>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</si>
  <si>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</si>
  <si>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</si>
  <si>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</si>
  <si>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</si>
  <si>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</si>
  <si>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</si>
  <si>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</si>
  <si>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</si>
  <si>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</si>
  <si>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</si>
  <si>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</si>
  <si>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</si>
  <si>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</si>
  <si>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</si>
  <si>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</si>
  <si>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</si>
  <si>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</si>
  <si>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</si>
  <si>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</si>
  <si>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</si>
  <si>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</si>
  <si>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</si>
  <si>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</si>
  <si>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</si>
  <si>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</si>
  <si>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</si>
  <si>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</si>
  <si>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</si>
  <si>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</si>
  <si>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</si>
  <si>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</si>
  <si>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</si>
  <si>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</si>
  <si>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</si>
  <si>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</si>
  <si>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</si>
  <si>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</si>
  <si>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</si>
  <si>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</si>
  <si>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</si>
  <si>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</si>
  <si>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</si>
  <si>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</si>
  <si>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</si>
  <si>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</si>
  <si>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</si>
  <si>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</si>
  <si>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</si>
  <si>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</si>
  <si>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</si>
  <si>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</si>
  <si>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</si>
  <si>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</si>
  <si>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</si>
  <si>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</si>
  <si>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</si>
  <si>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</si>
  <si>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</si>
  <si>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</si>
  <si>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</si>
  <si>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</si>
  <si>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</si>
  <si>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</si>
  <si>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</si>
  <si>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</si>
  <si>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</si>
  <si>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</si>
  <si>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</si>
  <si>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</si>
  <si>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</si>
  <si>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</si>
  <si>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</si>
  <si>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</si>
  <si>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</si>
  <si>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</si>
  <si>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</si>
  <si>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</si>
  <si>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</si>
  <si>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</si>
  <si>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</si>
  <si>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</si>
  <si>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</si>
  <si>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</si>
  <si>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</si>
  <si>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</si>
  <si>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</si>
  <si>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</si>
  <si>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</si>
  <si>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</si>
  <si>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</si>
  <si>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</si>
  <si>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</si>
  <si>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</si>
  <si>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</si>
  <si>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</si>
  <si>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</si>
  <si>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</si>
  <si>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</si>
  <si>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</si>
  <si>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</si>
  <si>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</si>
  <si>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</si>
  <si>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</si>
  <si>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</si>
  <si>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</si>
  <si>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</si>
  <si>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</si>
  <si>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</si>
  <si>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</si>
  <si>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</si>
  <si>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</si>
  <si>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</si>
  <si>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</si>
  <si>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</si>
  <si>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</si>
  <si>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</si>
  <si>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</si>
  <si>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</si>
  <si>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</si>
  <si>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</si>
  <si>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</si>
  <si>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</si>
  <si>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</si>
  <si>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</si>
  <si>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</si>
  <si>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</si>
  <si>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</si>
  <si>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</si>
  <si>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</si>
  <si>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</si>
  <si>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</si>
  <si>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</si>
  <si>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</si>
  <si>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</si>
  <si>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</si>
  <si>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</si>
  <si>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</si>
  <si>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</si>
  <si>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</si>
  <si>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</si>
  <si>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</si>
  <si>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</si>
  <si>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</si>
  <si>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</si>
  <si>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</si>
  <si>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</si>
  <si>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</si>
  <si>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</si>
  <si>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</si>
  <si>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</si>
  <si>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</si>
  <si>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</si>
  <si>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</si>
  <si>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</si>
  <si>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</si>
  <si>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</si>
  <si>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</si>
  <si>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</si>
  <si>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</si>
  <si>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</si>
  <si>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</si>
  <si>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</si>
  <si>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</si>
  <si>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</si>
  <si>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</si>
  <si>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</si>
  <si>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</si>
  <si>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</si>
  <si>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</si>
  <si>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</si>
  <si>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</si>
  <si>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</si>
  <si>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</si>
  <si>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</si>
  <si>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</si>
  <si>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</si>
  <si>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</si>
  <si>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</si>
  <si>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</si>
  <si>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</si>
  <si>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</si>
  <si>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</si>
  <si>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</si>
  <si>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</si>
  <si>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</si>
  <si>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</si>
  <si>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</si>
  <si>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</si>
  <si>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</si>
  <si>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</si>
  <si>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</si>
  <si>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</si>
  <si>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</si>
  <si>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</si>
  <si>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</si>
  <si>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</si>
  <si>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</si>
  <si>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</si>
  <si>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</si>
  <si>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</si>
  <si>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</si>
  <si>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</si>
  <si>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</si>
  <si>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</si>
  <si>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</si>
  <si>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</si>
  <si>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</si>
  <si>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</si>
  <si>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</si>
  <si>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</si>
  <si>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</si>
  <si>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</si>
  <si>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</si>
  <si>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</si>
  <si>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</si>
  <si>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</si>
  <si>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</si>
  <si>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</si>
  <si>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</si>
  <si>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</si>
  <si>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</si>
  <si>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</si>
  <si>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</si>
  <si>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</si>
  <si>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</si>
  <si>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</si>
  <si>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</si>
  <si>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</si>
  <si>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</si>
  <si>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</si>
  <si>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</si>
  <si>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</si>
  <si>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</si>
  <si>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</si>
  <si>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</si>
  <si>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</si>
  <si>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</si>
  <si>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</si>
  <si>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</si>
  <si>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</si>
  <si>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</si>
  <si>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</si>
  <si>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</si>
  <si>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</si>
  <si>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</si>
  <si>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</si>
  <si>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</si>
  <si>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</si>
  <si>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</si>
  <si>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</si>
  <si>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</si>
  <si>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</si>
  <si>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</si>
  <si>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</si>
  <si>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</si>
  <si>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</si>
  <si>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</si>
  <si>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</si>
  <si>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</si>
  <si>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</si>
  <si>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</si>
  <si>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</si>
  <si>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</si>
  <si>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</si>
  <si>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</si>
  <si>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</si>
  <si>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</si>
  <si>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</si>
  <si>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</si>
  <si>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</si>
  <si>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</si>
  <si>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</si>
  <si>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</si>
  <si>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</si>
  <si>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</si>
  <si>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</si>
  <si>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</si>
  <si>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</si>
  <si>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</si>
  <si>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</si>
  <si>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</si>
  <si>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</si>
  <si>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</si>
  <si>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</si>
  <si>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</si>
  <si>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</si>
  <si>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</si>
  <si>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</si>
  <si>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</si>
  <si>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</si>
  <si>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</si>
  <si>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</si>
  <si>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</si>
  <si>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</si>
  <si>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</si>
  <si>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</si>
  <si>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</si>
  <si>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</si>
  <si>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</si>
  <si>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</si>
  <si>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</si>
  <si>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</si>
  <si>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</si>
  <si>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</si>
  <si>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</si>
  <si>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</si>
  <si>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</si>
  <si>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</si>
  <si>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</si>
  <si>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</si>
  <si>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</si>
  <si>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</si>
  <si>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</si>
  <si>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</si>
  <si>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</si>
  <si>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</si>
  <si>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</si>
  <si>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</si>
  <si>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</si>
  <si>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</si>
  <si>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</si>
  <si>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</si>
  <si>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</si>
  <si>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</si>
  <si>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</si>
  <si>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</si>
  <si>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</si>
  <si>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</si>
  <si>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</si>
  <si>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</si>
  <si>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</si>
  <si>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</si>
  <si>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</si>
  <si>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</si>
  <si>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</si>
  <si>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</si>
  <si>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</si>
  <si>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</si>
  <si>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</si>
  <si>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</si>
  <si>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</si>
  <si>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</si>
  <si>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</si>
  <si>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</si>
  <si>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</si>
  <si>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</si>
  <si>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</si>
  <si>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</si>
  <si>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</si>
  <si>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</si>
  <si>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</si>
  <si>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</si>
  <si>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</si>
  <si>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</si>
  <si>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</si>
  <si>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</si>
  <si>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</si>
  <si>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</si>
  <si>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</si>
  <si>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</si>
  <si>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</si>
  <si>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</si>
  <si>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</si>
  <si>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</si>
  <si>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</si>
  <si>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</si>
  <si>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</si>
  <si>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</si>
  <si>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</si>
  <si>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</si>
  <si>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</si>
  <si>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</si>
  <si>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</si>
  <si>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</si>
  <si>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</si>
  <si>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</si>
  <si>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</si>
  <si>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</si>
  <si>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</si>
  <si>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</si>
  <si>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</si>
  <si>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</si>
  <si>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</si>
  <si>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</si>
  <si>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</si>
  <si>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</si>
  <si>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</si>
  <si>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</si>
  <si>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</si>
  <si>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</si>
  <si>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</si>
  <si>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</si>
  <si>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</si>
  <si>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</si>
  <si>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</si>
  <si>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</si>
  <si>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</si>
  <si>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</si>
  <si>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</si>
  <si>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</si>
  <si>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</si>
  <si>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</si>
  <si>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</si>
  <si>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</si>
  <si>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</si>
  <si>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</si>
  <si>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</si>
  <si>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</si>
  <si>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</si>
  <si>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</si>
  <si>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</si>
  <si>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</si>
  <si>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</si>
  <si>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</si>
  <si>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</si>
  <si>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</si>
  <si>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</si>
  <si>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</si>
  <si>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</si>
  <si>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</si>
  <si>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</si>
  <si>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</si>
  <si>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</si>
  <si>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</si>
  <si>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</si>
  <si>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</si>
  <si>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</si>
  <si>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</si>
  <si>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</si>
  <si>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</si>
  <si>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</si>
  <si>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</si>
  <si>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</si>
  <si>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</si>
  <si>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</si>
  <si>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</si>
  <si>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</si>
  <si>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</si>
  <si>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</si>
  <si>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</si>
  <si>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</si>
  <si>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</si>
  <si>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</si>
  <si>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</si>
  <si>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</si>
  <si>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</si>
  <si>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</si>
  <si>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</si>
  <si>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</si>
  <si>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</si>
  <si>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</si>
  <si>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</si>
  <si>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</si>
  <si>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</si>
  <si>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</si>
  <si>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</si>
  <si>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</si>
  <si>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</si>
  <si>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</si>
  <si>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</si>
  <si>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</si>
  <si>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</si>
  <si>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</si>
  <si>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</si>
  <si>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</si>
  <si>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</si>
  <si>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</si>
  <si>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</si>
  <si>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</si>
  <si>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</si>
  <si>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</si>
  <si>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</si>
  <si>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</si>
  <si>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</si>
  <si>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</si>
  <si>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</si>
  <si>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</si>
  <si>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</si>
  <si>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</si>
  <si>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</si>
  <si>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</si>
  <si>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</si>
  <si>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</si>
  <si>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</si>
  <si>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</si>
  <si>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</si>
  <si>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</si>
  <si>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</si>
  <si>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</si>
  <si>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</si>
  <si>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</si>
  <si>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</si>
  <si>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</si>
  <si>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</si>
  <si>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</si>
  <si>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</si>
  <si>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</si>
  <si>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</si>
  <si>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</si>
  <si>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</si>
  <si>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</si>
  <si>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</si>
  <si>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</si>
  <si>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</si>
  <si>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</si>
  <si>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</si>
  <si>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</si>
  <si>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</si>
  <si>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</si>
  <si>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</si>
  <si>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</si>
  <si>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</si>
  <si>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</si>
  <si>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</si>
  <si>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</si>
  <si>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</si>
  <si>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</si>
  <si>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</si>
  <si>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</si>
  <si>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</si>
  <si>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</si>
  <si>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</si>
  <si>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</si>
  <si>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</si>
  <si>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</si>
  <si>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</si>
  <si>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</si>
  <si>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</si>
  <si>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</si>
  <si>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</si>
  <si>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</si>
  <si>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</si>
  <si>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</si>
  <si>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</si>
  <si>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</si>
  <si>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</si>
  <si>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</si>
  <si>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</si>
  <si>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</si>
  <si>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</si>
  <si>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</si>
  <si>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</si>
  <si>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</si>
  <si>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</si>
  <si>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</si>
  <si>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</si>
  <si>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</si>
  <si>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</si>
  <si>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</si>
  <si>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</si>
  <si>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</si>
  <si>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</si>
  <si>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</si>
  <si>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</si>
  <si>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</si>
  <si>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</si>
  <si>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</si>
  <si>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</si>
  <si>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</si>
  <si>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</si>
  <si>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</si>
  <si>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</si>
  <si>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</si>
  <si>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</si>
  <si>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</si>
  <si>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</si>
  <si>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</si>
  <si>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</si>
  <si>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</si>
  <si>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</si>
  <si>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</si>
  <si>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</si>
  <si>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</si>
  <si>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</si>
  <si>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</si>
  <si>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</si>
  <si>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</si>
  <si>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</si>
  <si>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</si>
  <si>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</si>
  <si>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</si>
  <si>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</si>
  <si>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</si>
  <si>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</si>
  <si>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</si>
  <si>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</si>
  <si>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</si>
  <si>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</si>
  <si>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</si>
  <si>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</si>
  <si>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</si>
  <si>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</si>
  <si>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</si>
  <si>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</si>
  <si>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</si>
  <si>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</si>
  <si>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</si>
  <si>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</si>
  <si>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</si>
  <si>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</si>
  <si>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</si>
  <si>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</si>
  <si>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</si>
  <si>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</si>
  <si>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</si>
  <si>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</si>
  <si>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</si>
  <si>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</si>
  <si>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</si>
  <si>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</si>
  <si>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</si>
  <si>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</si>
  <si>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</si>
  <si>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</si>
  <si>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</si>
  <si>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</si>
  <si>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</si>
  <si>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</si>
  <si>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</si>
  <si>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</si>
  <si>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</si>
  <si>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</si>
  <si>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</si>
  <si>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</si>
  <si>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</si>
  <si>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</si>
  <si>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</si>
  <si>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</si>
  <si>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</si>
  <si>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</si>
  <si>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</si>
  <si>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</si>
  <si>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</si>
  <si>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</si>
  <si>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</si>
  <si>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</si>
  <si>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</si>
  <si>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</si>
  <si>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</si>
  <si>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</si>
  <si>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</si>
  <si>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</si>
  <si>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</si>
  <si>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</si>
  <si>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</si>
  <si>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</si>
  <si>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</si>
  <si>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</si>
  <si>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</si>
  <si>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</si>
  <si>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</si>
  <si>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</si>
  <si>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</si>
  <si>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</si>
  <si>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</si>
  <si>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</si>
  <si>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</si>
  <si>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</si>
  <si>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</si>
  <si>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</si>
  <si>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</si>
  <si>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</si>
  <si>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</si>
  <si>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</si>
  <si>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</si>
  <si>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</si>
  <si>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</si>
  <si>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</si>
  <si>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</si>
  <si>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</si>
  <si>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</si>
  <si>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</si>
  <si>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</si>
  <si>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</si>
  <si>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</si>
  <si>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</si>
  <si>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</si>
  <si>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</si>
  <si>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</si>
  <si>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</si>
  <si>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</si>
  <si>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</si>
  <si>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</si>
  <si>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</si>
  <si>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</si>
  <si>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</si>
  <si>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</si>
  <si>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</si>
  <si>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</si>
  <si>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</si>
  <si>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</si>
  <si>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</si>
  <si>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</si>
  <si>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</si>
  <si>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</si>
  <si>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</si>
  <si>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</si>
  <si>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</si>
  <si>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</si>
  <si>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</si>
  <si>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</si>
  <si>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</si>
  <si>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</si>
  <si>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</si>
  <si>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</si>
  <si>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</si>
  <si>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</si>
  <si>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</si>
  <si>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</si>
  <si>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</si>
  <si>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</si>
  <si>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</si>
  <si>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</si>
  <si>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</si>
  <si>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</si>
  <si>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</si>
  <si>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</si>
  <si>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</si>
  <si>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</si>
  <si>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</si>
  <si>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</si>
  <si>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</si>
  <si>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</si>
  <si>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</si>
  <si>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</si>
  <si>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</si>
  <si>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</si>
  <si>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</si>
  <si>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</si>
  <si>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</si>
  <si>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</si>
  <si>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</si>
  <si>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</si>
  <si>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</si>
  <si>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</si>
  <si>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</si>
  <si>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</si>
  <si>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</si>
  <si>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</si>
  <si>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</si>
  <si>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</si>
  <si>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</si>
  <si>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</si>
  <si>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</si>
  <si>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</si>
  <si>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</si>
  <si>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</si>
  <si>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</si>
  <si>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</si>
  <si>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</si>
  <si>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</si>
  <si>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</si>
  <si>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</si>
  <si>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</si>
  <si>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</si>
  <si>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</si>
  <si>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</si>
  <si>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</si>
  <si>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</si>
  <si>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</si>
  <si>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</si>
  <si>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</si>
  <si>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</si>
  <si>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</si>
  <si>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</si>
  <si>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</si>
  <si>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</si>
  <si>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</si>
  <si>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</si>
  <si>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</si>
  <si>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</si>
  <si>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</si>
  <si>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</si>
  <si>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</si>
  <si>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</si>
  <si>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</si>
  <si>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</si>
  <si>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</si>
  <si>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</si>
  <si>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</si>
  <si>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</si>
  <si>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</si>
  <si>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</si>
  <si>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</si>
  <si>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</si>
  <si>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</si>
  <si>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</si>
  <si>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</si>
  <si>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</si>
  <si>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</si>
  <si>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</si>
  <si>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</si>
  <si>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</si>
  <si>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</si>
  <si>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</si>
  <si>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</si>
  <si>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</si>
  <si>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</si>
  <si>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</si>
  <si>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</si>
  <si>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</si>
  <si>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</si>
  <si>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</si>
  <si>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</si>
  <si>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</si>
  <si>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</si>
  <si>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</si>
  <si>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</si>
  <si>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</si>
  <si>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</si>
  <si>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</si>
  <si>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</si>
  <si>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</si>
  <si>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</si>
  <si>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</si>
  <si>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</si>
  <si>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</si>
  <si>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</si>
  <si>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</si>
  <si>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</si>
  <si>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</si>
  <si>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</si>
  <si>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</si>
  <si>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</si>
  <si>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</si>
  <si>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</si>
  <si>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</si>
  <si>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</si>
  <si>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</si>
  <si>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</si>
  <si>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</si>
  <si>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</si>
  <si>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</si>
  <si>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</si>
  <si>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</si>
  <si>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</si>
  <si>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</si>
  <si>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</si>
  <si>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</si>
  <si>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</si>
  <si>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</si>
  <si>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</si>
  <si>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</si>
  <si>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</si>
  <si>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</si>
  <si>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</si>
  <si>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</si>
  <si>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</si>
  <si>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</si>
  <si>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</si>
  <si>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</si>
  <si>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</si>
  <si>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</si>
  <si>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</si>
  <si>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</si>
  <si>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</si>
  <si>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</si>
  <si>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</si>
  <si>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</si>
  <si>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</si>
  <si>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</si>
  <si>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</si>
  <si>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</si>
  <si>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</si>
  <si>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</si>
  <si>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</si>
  <si>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</si>
  <si>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</si>
  <si>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</si>
  <si>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</si>
  <si>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</si>
  <si>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</si>
  <si>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</si>
  <si>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</si>
  <si>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</si>
  <si>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</si>
  <si>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</si>
  <si>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</si>
  <si>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</si>
  <si>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</si>
  <si>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</si>
  <si>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</si>
  <si>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</si>
  <si>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</si>
  <si>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</si>
  <si>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</si>
  <si>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</si>
  <si>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</si>
  <si>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</si>
  <si>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</si>
  <si>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</si>
  <si>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</si>
  <si>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</si>
  <si>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</si>
  <si>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</si>
  <si>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</si>
  <si>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</si>
  <si>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</si>
  <si>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</si>
  <si>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</si>
  <si>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</si>
  <si>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</si>
  <si>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</si>
  <si>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</si>
  <si>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</si>
  <si>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</si>
  <si>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</si>
  <si>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</si>
  <si>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</si>
  <si>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</si>
  <si>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</si>
  <si>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</si>
  <si>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</si>
  <si>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</si>
  <si>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</si>
  <si>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</si>
  <si>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</si>
  <si>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</si>
  <si>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</si>
  <si>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</si>
  <si>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</si>
  <si>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</si>
  <si>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</si>
  <si>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</si>
  <si>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</si>
  <si>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</si>
  <si>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</si>
  <si>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</si>
  <si>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</si>
  <si>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</si>
  <si>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</si>
  <si>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</si>
  <si>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</si>
  <si>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</si>
  <si>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</si>
  <si>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</si>
  <si>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</si>
  <si>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</si>
  <si>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</si>
  <si>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</si>
  <si>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</si>
  <si>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</si>
  <si>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</si>
  <si>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</si>
  <si>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</si>
  <si>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</si>
  <si>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</si>
  <si>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</si>
  <si>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</si>
  <si>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</si>
  <si>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</si>
  <si>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</si>
  <si>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</si>
  <si>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</si>
  <si>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</si>
  <si>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</si>
  <si>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</si>
  <si>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</si>
  <si>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</si>
  <si>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</si>
  <si>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</si>
  <si>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</si>
  <si>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</si>
  <si>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</si>
  <si>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</si>
  <si>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</si>
  <si>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</si>
  <si>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</si>
  <si>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</si>
  <si>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</si>
  <si>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</si>
  <si>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</si>
  <si>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</si>
  <si>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</si>
  <si>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</si>
  <si>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</si>
  <si>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</si>
  <si>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</si>
  <si>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</si>
  <si>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</si>
  <si>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</si>
  <si>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</si>
  <si>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</si>
  <si>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</si>
  <si>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</si>
  <si>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</si>
  <si>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</si>
  <si>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</si>
  <si>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</si>
  <si>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</si>
  <si>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</si>
  <si>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</si>
  <si>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</si>
  <si>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</si>
  <si>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</si>
  <si>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</si>
  <si>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</si>
  <si>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</si>
  <si>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</si>
  <si>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</si>
  <si>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</si>
  <si>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</si>
  <si>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</si>
  <si>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</si>
  <si>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</si>
  <si>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</si>
  <si>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</si>
  <si>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</si>
  <si>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</si>
  <si>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</si>
  <si>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</si>
  <si>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</si>
  <si>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</si>
  <si>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</si>
  <si>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</si>
  <si>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</si>
  <si>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</si>
  <si>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</si>
  <si>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</si>
  <si>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</si>
  <si>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</si>
  <si>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</si>
  <si>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</si>
  <si>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</si>
  <si>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</si>
  <si>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</si>
  <si>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</si>
  <si>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</si>
  <si>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</si>
  <si>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</si>
  <si>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</si>
  <si>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</si>
  <si>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</si>
  <si>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</si>
  <si>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</si>
  <si>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</si>
  <si>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</si>
  <si>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</si>
  <si>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</si>
  <si>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</si>
  <si>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</si>
  <si>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</si>
  <si>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</si>
  <si>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</si>
  <si>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</si>
  <si>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</si>
  <si>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</si>
  <si>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</si>
  <si>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</si>
  <si>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</si>
  <si>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</si>
  <si>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</si>
  <si>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</si>
  <si>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</si>
  <si>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</si>
  <si>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</si>
  <si>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</si>
  <si>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</si>
  <si>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</si>
  <si>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</si>
  <si>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</si>
  <si>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</si>
  <si>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</si>
  <si>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</si>
  <si>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</si>
  <si>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</si>
  <si>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</si>
  <si>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</si>
  <si>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</si>
  <si>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</si>
  <si>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</si>
  <si>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</si>
  <si>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</si>
  <si>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</si>
  <si>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</si>
  <si>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</si>
  <si>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</si>
  <si>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</si>
  <si>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</si>
  <si>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</si>
  <si>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</si>
  <si>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</si>
  <si>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</si>
  <si>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</si>
  <si>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</si>
  <si>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</si>
  <si>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</si>
  <si>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</si>
  <si>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</si>
  <si>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</si>
  <si>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</si>
  <si>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</si>
  <si>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</si>
  <si>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</si>
  <si>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</si>
  <si>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</si>
  <si>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</si>
  <si>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</si>
  <si>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</si>
  <si>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</si>
  <si>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</si>
  <si>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</si>
  <si>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</si>
  <si>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</si>
  <si>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</si>
  <si>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</si>
  <si>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</si>
  <si>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</si>
  <si>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</si>
  <si>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</si>
  <si>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</si>
  <si>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</si>
  <si>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</si>
  <si>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</si>
  <si>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</si>
  <si>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</si>
  <si>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</si>
  <si>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</si>
  <si>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</si>
  <si>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</si>
  <si>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</si>
  <si>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</si>
  <si>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</si>
  <si>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</si>
  <si>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</si>
  <si>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</si>
  <si>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</si>
  <si>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</si>
  <si>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</si>
  <si>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</si>
  <si>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</si>
  <si>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</si>
  <si>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</si>
  <si>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</si>
  <si>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</si>
  <si>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</si>
  <si>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</si>
  <si>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</si>
  <si>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</si>
  <si>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</si>
  <si>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</si>
  <si>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</si>
  <si>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</si>
  <si>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</si>
  <si>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</si>
  <si>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</si>
  <si>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</si>
  <si>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</si>
  <si>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</si>
  <si>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</si>
  <si>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</si>
  <si>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</si>
  <si>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</si>
  <si>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</si>
  <si>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</si>
  <si>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</si>
  <si>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</si>
  <si>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</si>
  <si>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</si>
  <si>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</si>
  <si>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</si>
  <si>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</si>
  <si>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</si>
  <si>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</si>
  <si>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</si>
  <si>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</si>
  <si>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</si>
  <si>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</si>
  <si>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</si>
  <si>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</si>
  <si>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</si>
  <si>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</si>
  <si>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</si>
  <si>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</si>
  <si>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</si>
  <si>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</si>
  <si>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</si>
  <si>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</si>
  <si>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</si>
  <si>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</si>
  <si>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</si>
  <si>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</si>
  <si>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</si>
  <si>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</si>
  <si>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</si>
  <si>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</si>
  <si>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</si>
  <si>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</si>
  <si>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</si>
  <si>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</si>
  <si>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</si>
  <si>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</si>
  <si>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</si>
  <si>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</si>
  <si>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</si>
  <si>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</si>
  <si>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</si>
  <si>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</si>
  <si>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</si>
  <si>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</si>
  <si>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</si>
  <si>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</si>
  <si>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</si>
  <si>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</si>
  <si>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</si>
  <si>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</si>
  <si>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</si>
  <si>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</si>
  <si>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</si>
  <si>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</si>
  <si>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</si>
  <si>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</si>
  <si>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</si>
  <si>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</si>
  <si>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</si>
  <si>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</si>
  <si>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</si>
  <si>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</si>
  <si>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</si>
  <si>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</si>
  <si>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</si>
  <si>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</si>
  <si>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</si>
  <si>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</si>
  <si>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</si>
  <si>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</si>
  <si>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</si>
  <si>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</si>
  <si>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</si>
  <si>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</si>
  <si>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</si>
  <si>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</si>
  <si>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</si>
  <si>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</si>
  <si>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</si>
  <si>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</si>
  <si>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</si>
  <si>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</si>
  <si>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</si>
  <si>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</si>
  <si>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</si>
  <si>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</si>
  <si>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</si>
  <si>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</si>
  <si>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</si>
  <si>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</si>
  <si>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</si>
  <si>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</si>
  <si>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</si>
  <si>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</si>
  <si>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</si>
  <si>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</si>
  <si>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</si>
  <si>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</si>
  <si>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</si>
  <si>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</si>
  <si>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</si>
  <si>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</si>
  <si>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</si>
  <si>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</si>
  <si>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</si>
  <si>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</si>
  <si>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</si>
  <si>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</si>
  <si>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</si>
  <si>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</si>
  <si>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</si>
  <si>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</si>
  <si>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</si>
  <si>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</si>
  <si>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</si>
  <si>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</si>
  <si>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</si>
  <si>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</si>
  <si>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</si>
  <si>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</si>
  <si>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</si>
  <si>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</si>
  <si>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</si>
  <si>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</si>
  <si>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</si>
  <si>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</si>
  <si>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</si>
  <si>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</si>
  <si>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</si>
  <si>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</si>
  <si>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</si>
  <si>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</si>
  <si>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</si>
  <si>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</si>
  <si>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</si>
  <si>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</si>
  <si>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</si>
  <si>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</si>
  <si>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</si>
  <si>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</si>
  <si>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</si>
  <si>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</si>
  <si>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</si>
  <si>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</si>
  <si>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</si>
  <si>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</si>
  <si>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</si>
  <si>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</si>
  <si>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</si>
  <si>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</si>
  <si>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</si>
  <si>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</si>
  <si>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</si>
  <si>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</si>
  <si>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</si>
  <si>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</si>
  <si>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</si>
  <si>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</si>
  <si>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</si>
  <si>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</si>
  <si>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</si>
  <si>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</si>
  <si>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</si>
  <si>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</si>
  <si>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</si>
  <si>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</si>
  <si>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</si>
  <si>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</si>
  <si>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</si>
  <si>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</si>
  <si>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</si>
  <si>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</si>
  <si>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</si>
  <si>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</si>
  <si>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</si>
  <si>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</si>
  <si>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</si>
  <si>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</si>
  <si>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</si>
  <si>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</si>
  <si>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</si>
  <si>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</si>
  <si>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</si>
  <si>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</si>
  <si>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</si>
  <si>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</si>
  <si>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</si>
  <si>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</si>
  <si>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</si>
  <si>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</si>
  <si>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</si>
  <si>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</si>
  <si>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</si>
  <si>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</si>
  <si>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</si>
  <si>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</si>
  <si>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</si>
  <si>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</si>
  <si>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</si>
  <si>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</si>
  <si>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</si>
  <si>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</si>
  <si>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</si>
  <si>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</si>
  <si>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</si>
  <si>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</si>
  <si>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</si>
  <si>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</si>
  <si>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</si>
  <si>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</si>
  <si>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</si>
  <si>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</si>
  <si>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</si>
  <si>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</si>
  <si>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</si>
  <si>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</si>
  <si>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</si>
  <si>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</si>
  <si>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</si>
  <si>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</si>
  <si>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</si>
  <si>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</si>
  <si>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</si>
  <si>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</si>
  <si>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</si>
  <si>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</si>
  <si>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</si>
  <si>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</si>
  <si>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</si>
  <si>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</si>
  <si>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</si>
  <si>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</si>
  <si>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</si>
  <si>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</si>
  <si>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</si>
  <si>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</si>
  <si>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</si>
  <si>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</si>
  <si>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</si>
  <si>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</si>
  <si>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</si>
  <si>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</si>
  <si>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</si>
  <si>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</si>
  <si>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</si>
  <si>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</si>
  <si>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</si>
  <si>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</si>
  <si>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</si>
  <si>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</si>
  <si>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</si>
  <si>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</si>
  <si>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</si>
  <si>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</si>
  <si>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</si>
  <si>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</si>
  <si>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</si>
  <si>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</si>
  <si>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</si>
  <si>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</si>
  <si>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</si>
  <si>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</si>
  <si>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</si>
  <si>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</si>
  <si>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</si>
  <si>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</si>
  <si>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</si>
  <si>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</si>
  <si>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</si>
  <si>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</si>
  <si>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</si>
  <si>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</si>
  <si>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</si>
  <si>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</si>
  <si>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</si>
  <si>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</si>
  <si>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</si>
  <si>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</si>
  <si>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</si>
  <si>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</si>
  <si>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</si>
  <si>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</si>
  <si>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</si>
  <si>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</si>
  <si>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</si>
  <si>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</si>
  <si>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</si>
  <si>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</si>
  <si>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</si>
  <si>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</si>
  <si>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</si>
  <si>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</si>
  <si>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</si>
  <si>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</si>
  <si>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</si>
  <si>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</si>
  <si>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</si>
  <si>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</si>
  <si>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</si>
  <si>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</si>
  <si>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</si>
  <si>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</si>
  <si>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</si>
  <si>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</si>
  <si>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</si>
  <si>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</si>
  <si>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</si>
  <si>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</si>
  <si>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</si>
  <si>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</si>
  <si>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</si>
  <si>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</si>
  <si>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</si>
  <si>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</si>
  <si>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</si>
  <si>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</si>
  <si>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</si>
  <si>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</si>
  <si>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</si>
  <si>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</si>
  <si>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</si>
  <si>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</si>
  <si>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</si>
  <si>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</si>
  <si>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</si>
  <si>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</si>
  <si>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</si>
  <si>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</si>
  <si>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</si>
  <si>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</si>
  <si>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</si>
  <si>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</si>
  <si>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</si>
  <si>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</si>
  <si>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</si>
  <si>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</si>
  <si>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</si>
  <si>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</si>
  <si>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</si>
  <si>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</si>
  <si>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</si>
  <si>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</si>
  <si>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</si>
  <si>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</si>
  <si>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</si>
  <si>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</si>
  <si>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</si>
  <si>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</si>
  <si>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</si>
  <si>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</si>
  <si>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</si>
  <si>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</si>
  <si>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</si>
  <si>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</si>
  <si>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</si>
  <si>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</si>
  <si>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</si>
  <si>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</si>
  <si>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</si>
  <si>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</si>
  <si>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</si>
  <si>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</si>
  <si>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</si>
  <si>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</si>
  <si>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</si>
  <si>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</si>
  <si>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</si>
  <si>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</si>
  <si>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</si>
  <si>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</si>
  <si>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</si>
  <si>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</si>
  <si>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</si>
  <si>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</si>
  <si>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</si>
  <si>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</si>
  <si>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</si>
  <si>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</si>
  <si>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</si>
  <si>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</si>
  <si>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</si>
  <si>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</si>
  <si>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</si>
  <si>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</si>
  <si>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</si>
  <si>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</si>
  <si>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</si>
  <si>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</si>
  <si>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</si>
  <si>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</si>
  <si>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</si>
  <si>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</si>
  <si>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</si>
  <si>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</si>
  <si>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</si>
  <si>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</si>
  <si>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</si>
  <si>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</si>
  <si>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</si>
  <si>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</si>
  <si>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</si>
  <si>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</si>
  <si>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</si>
  <si>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</si>
  <si>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</si>
  <si>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</si>
  <si>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</si>
  <si>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</si>
  <si>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</si>
  <si>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</si>
  <si>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</si>
  <si>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</si>
  <si>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</si>
  <si>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</si>
  <si>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</si>
  <si>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</si>
  <si>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</si>
  <si>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</si>
  <si>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</si>
  <si>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</si>
  <si>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</si>
  <si>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</si>
  <si>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</si>
  <si>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</si>
  <si>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</si>
  <si>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</si>
  <si>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</si>
  <si>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</si>
  <si>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</si>
  <si>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</si>
  <si>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</si>
  <si>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</si>
  <si>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</si>
  <si>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</si>
  <si>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</si>
  <si>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</si>
  <si>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</si>
  <si>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</si>
  <si>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</si>
  <si>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</si>
  <si>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</si>
  <si>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</si>
  <si>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</si>
  <si>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</si>
  <si>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</si>
  <si>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</si>
  <si>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</si>
  <si>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</si>
  <si>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</si>
  <si>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</si>
  <si>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</si>
  <si>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</si>
  <si>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</si>
  <si>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</si>
  <si>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</si>
  <si>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</si>
  <si>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</si>
  <si>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</si>
  <si>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</si>
  <si>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</si>
  <si>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</si>
  <si>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</si>
  <si>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</si>
  <si>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</si>
  <si>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</si>
  <si>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</si>
  <si>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</si>
  <si>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</si>
  <si>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</si>
  <si>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</si>
  <si>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</si>
  <si>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</si>
  <si>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</si>
  <si>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</si>
  <si>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</si>
  <si>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</si>
  <si>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</si>
  <si>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</si>
  <si>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</si>
  <si>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</si>
  <si>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</si>
  <si>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</si>
  <si>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</si>
  <si>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</si>
  <si>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</si>
  <si>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</si>
  <si>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</si>
  <si>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</si>
  <si>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</si>
  <si>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</si>
  <si>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</si>
  <si>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</si>
  <si>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</si>
  <si>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</si>
  <si>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</si>
  <si>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</si>
  <si>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</si>
  <si>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</si>
  <si>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</si>
  <si>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</si>
  <si>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</si>
  <si>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</si>
  <si>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</si>
  <si>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</si>
  <si>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</si>
  <si>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</si>
  <si>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</si>
  <si>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</si>
  <si>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</si>
  <si>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</si>
  <si>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</si>
  <si>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</si>
  <si>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</si>
  <si>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</si>
  <si>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</si>
  <si>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</si>
  <si>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</si>
  <si>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</si>
  <si>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</si>
  <si>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</si>
  <si>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</si>
  <si>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</si>
  <si>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</si>
  <si>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</si>
  <si>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</si>
  <si>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</si>
  <si>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</si>
  <si>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</si>
  <si>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</si>
  <si>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</si>
  <si>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</si>
  <si>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</si>
  <si>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</si>
  <si>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</si>
  <si>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</si>
  <si>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</si>
  <si>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</si>
  <si>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</si>
  <si>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</si>
  <si>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</si>
  <si>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</si>
  <si>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</si>
  <si>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</si>
  <si>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</si>
  <si>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</si>
  <si>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</si>
  <si>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</si>
  <si>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</si>
  <si>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</si>
  <si>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</si>
  <si>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</si>
  <si>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</si>
  <si>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</si>
  <si>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</si>
  <si>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</si>
  <si>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</si>
  <si>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</si>
  <si>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</si>
  <si>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</si>
  <si>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</si>
  <si>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</si>
  <si>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</si>
  <si>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</si>
  <si>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</si>
  <si>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</si>
  <si>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</si>
  <si>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</si>
  <si>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</si>
  <si>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</si>
  <si>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</si>
  <si>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</si>
  <si>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</si>
  <si>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</si>
  <si>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</si>
  <si>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</si>
  <si>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</si>
  <si>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</si>
  <si>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</si>
  <si>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</si>
  <si>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</si>
  <si>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</si>
  <si>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</si>
  <si>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</si>
  <si>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</si>
  <si>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</si>
  <si>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</si>
  <si>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</si>
  <si>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</si>
  <si>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</si>
  <si>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</si>
  <si>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</si>
  <si>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</si>
  <si>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</si>
  <si>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</si>
  <si>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</si>
  <si>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</si>
  <si>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</si>
  <si>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</si>
  <si>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</si>
  <si>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</si>
  <si>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</si>
  <si>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</si>
  <si>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</si>
  <si>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</si>
  <si>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</si>
  <si>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</si>
  <si>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</si>
  <si>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</si>
  <si>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</si>
  <si>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</si>
  <si>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</si>
  <si>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</si>
  <si>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</si>
  <si>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</si>
  <si>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</si>
  <si>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</si>
  <si>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</si>
  <si>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</si>
  <si>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</si>
  <si>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</si>
  <si>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</si>
  <si>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</si>
  <si>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</si>
  <si>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</si>
  <si>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</si>
  <si>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</si>
  <si>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</si>
  <si>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</si>
  <si>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</si>
  <si>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</si>
  <si>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</si>
  <si>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</si>
  <si>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</si>
  <si>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</si>
  <si>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</si>
  <si>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</si>
  <si>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</si>
  <si>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</si>
  <si>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</si>
  <si>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</si>
  <si>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</si>
  <si>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</si>
  <si>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</si>
  <si>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</si>
  <si>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</si>
  <si>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</si>
  <si>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</si>
  <si>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</si>
  <si>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</si>
  <si>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</si>
  <si>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</si>
  <si>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</si>
  <si>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</si>
  <si>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</si>
  <si>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</si>
  <si>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</si>
  <si>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</si>
  <si>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</si>
  <si>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</si>
  <si>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</si>
  <si>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</si>
  <si>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</si>
  <si>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</si>
  <si>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</si>
  <si>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</si>
  <si>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</si>
  <si>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</si>
  <si>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</si>
  <si>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</si>
  <si>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</si>
  <si>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</si>
  <si>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</si>
  <si>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</si>
  <si>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</si>
  <si>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</si>
  <si>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</si>
  <si>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</si>
  <si>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</si>
  <si>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</si>
  <si>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</si>
  <si>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</si>
  <si>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</si>
  <si>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</si>
  <si>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</si>
  <si>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</si>
  <si>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</si>
  <si>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</si>
  <si>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</si>
  <si>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</si>
  <si>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</si>
  <si>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</si>
  <si>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</si>
  <si>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</si>
  <si>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</si>
  <si>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</si>
  <si>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</si>
  <si>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</si>
  <si>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</si>
  <si>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</si>
  <si>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</si>
  <si>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</si>
  <si>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</si>
  <si>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</si>
  <si>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</si>
  <si>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</si>
  <si>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</si>
  <si>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</si>
  <si>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</si>
  <si>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</si>
  <si>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</si>
  <si>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</si>
  <si>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</si>
  <si>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</si>
  <si>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</si>
  <si>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</si>
  <si>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</si>
  <si>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</si>
  <si>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</si>
  <si>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</si>
  <si>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</si>
  <si>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</si>
  <si>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</si>
  <si>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</si>
  <si>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</si>
  <si>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</si>
  <si>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</si>
  <si>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</si>
  <si>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</si>
  <si>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</si>
  <si>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</si>
  <si>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</si>
  <si>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</si>
  <si>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</si>
  <si>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</si>
  <si>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</si>
  <si>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</si>
  <si>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</si>
  <si>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</si>
  <si>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</si>
  <si>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</si>
  <si>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</si>
  <si>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</si>
  <si>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</si>
  <si>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</si>
  <si>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</si>
  <si>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</si>
  <si>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</si>
  <si>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</si>
  <si>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</si>
  <si>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</si>
  <si>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</si>
  <si>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</si>
  <si>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</si>
  <si>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</si>
  <si>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</si>
  <si>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</si>
  <si>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</si>
  <si>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</si>
  <si>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</si>
  <si>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</si>
  <si>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</si>
  <si>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</si>
  <si>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</si>
  <si>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</si>
  <si>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</si>
  <si>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</si>
  <si>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</si>
  <si>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</si>
  <si>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</si>
  <si>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</si>
  <si>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</si>
  <si>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</si>
  <si>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</si>
  <si>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</si>
  <si>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</si>
  <si>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</si>
  <si>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</si>
  <si>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</si>
  <si>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</si>
  <si>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</si>
  <si>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</si>
  <si>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</si>
  <si>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</si>
  <si>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</si>
  <si>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</si>
  <si>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</si>
  <si>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</si>
  <si>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</si>
  <si>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</si>
  <si>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</si>
  <si>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</si>
  <si>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</si>
  <si>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</si>
  <si>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</si>
  <si>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</si>
  <si>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</si>
  <si>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</si>
  <si>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</si>
  <si>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</si>
  <si>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</si>
  <si>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</si>
  <si>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</si>
  <si>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</si>
  <si>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</si>
  <si>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</si>
  <si>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</si>
  <si>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</si>
  <si>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</si>
  <si>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</si>
  <si>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</si>
  <si>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</si>
  <si>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</si>
  <si>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</si>
  <si>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</si>
  <si>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</si>
  <si>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</si>
  <si>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</si>
  <si>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</si>
  <si>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</si>
  <si>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</si>
  <si>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</si>
  <si>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</si>
  <si>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</si>
  <si>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</si>
  <si>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</si>
  <si>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</si>
  <si>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</si>
  <si>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</si>
  <si>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</si>
  <si>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</si>
  <si>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</si>
  <si>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</si>
  <si>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</si>
  <si>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</si>
  <si>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</si>
  <si>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</si>
  <si>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</si>
  <si>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</si>
  <si>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</si>
  <si>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</si>
  <si>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</si>
  <si>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</si>
  <si>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</si>
  <si>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</si>
  <si>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</si>
  <si>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</si>
  <si>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</si>
  <si>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</si>
  <si>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</si>
  <si>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</si>
  <si>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</si>
  <si>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</si>
  <si>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</si>
  <si>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</si>
  <si>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</si>
  <si>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</si>
  <si>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</si>
  <si>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</si>
  <si>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</si>
  <si>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</si>
  <si>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</si>
  <si>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</si>
  <si>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</si>
  <si>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</si>
  <si>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</si>
  <si>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</si>
  <si>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</si>
  <si>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</si>
  <si>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</si>
  <si>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</si>
  <si>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</si>
  <si>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</si>
  <si>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</si>
  <si>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</si>
  <si>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</si>
  <si>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</si>
  <si>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</si>
  <si>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</si>
  <si>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</si>
  <si>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</si>
  <si>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</si>
  <si>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</si>
  <si>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</si>
  <si>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</si>
  <si>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</si>
  <si>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</si>
  <si>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</si>
  <si>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</si>
  <si>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</si>
  <si>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</si>
  <si>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</si>
  <si>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</si>
  <si>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</si>
  <si>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</si>
  <si>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</si>
  <si>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</si>
  <si>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</si>
  <si>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</si>
  <si>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</si>
  <si>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</si>
  <si>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</si>
  <si>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</si>
  <si>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</si>
  <si>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</si>
  <si>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</si>
  <si>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</si>
  <si>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</si>
  <si>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</si>
  <si>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</si>
  <si>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</si>
  <si>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</si>
  <si>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</si>
  <si>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</si>
  <si>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</si>
  <si>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</si>
  <si>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</si>
  <si>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</si>
  <si>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</si>
  <si>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</si>
  <si>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</si>
  <si>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</si>
  <si>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</si>
  <si>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</si>
  <si>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</si>
  <si>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</si>
  <si>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</si>
  <si>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</si>
  <si>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</si>
  <si>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</si>
  <si>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</si>
  <si>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</si>
  <si>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</si>
  <si>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</si>
  <si>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</si>
  <si>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</si>
  <si>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</si>
  <si>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</si>
  <si>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</si>
  <si>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</si>
  <si>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</si>
  <si>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</si>
  <si>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</si>
  <si>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</si>
  <si>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</si>
  <si>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</si>
  <si>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</si>
  <si>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</si>
  <si>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</si>
  <si>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</si>
  <si>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</si>
  <si>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</si>
  <si>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</si>
  <si>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</si>
  <si>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</si>
  <si>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</si>
  <si>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</si>
  <si>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</si>
  <si>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</si>
  <si>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</si>
  <si>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</si>
  <si>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</si>
  <si>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</si>
  <si>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</si>
  <si>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</si>
  <si>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</si>
  <si>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</si>
  <si>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</si>
  <si>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</si>
  <si>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</si>
  <si>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</si>
  <si>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</si>
  <si>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</si>
  <si>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</si>
  <si>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</si>
  <si>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</si>
  <si>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</si>
  <si>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Days to Deliver</t>
  </si>
  <si>
    <t>Average of Rating C</t>
  </si>
  <si>
    <t>Qty</t>
  </si>
  <si>
    <t>Avg. Day</t>
  </si>
  <si>
    <t>Row Labels</t>
  </si>
  <si>
    <t>Grand Total</t>
  </si>
  <si>
    <t>Unknown</t>
  </si>
  <si>
    <t>Male</t>
  </si>
  <si>
    <t>Female</t>
  </si>
  <si>
    <t>Other</t>
  </si>
  <si>
    <t>Column Labels</t>
  </si>
  <si>
    <t>6 To 10</t>
  </si>
  <si>
    <t>More Than 10</t>
  </si>
  <si>
    <t>c</t>
  </si>
  <si>
    <t>Jan</t>
  </si>
  <si>
    <t>Feb</t>
  </si>
  <si>
    <t>Mar</t>
  </si>
  <si>
    <t>s</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</si>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</sst>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0"/>
    <numFmt numFmtId="165" formatCode="0.0%"/>
  </numFmts>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1" xfId="0" applyNumberFormat="1" applyBorder="1"/>
    <xf numFmtId="0" fontId="0" fillId="0" borderId="1" xfId="0" applyBorder="1"/>
  </cellXfs>
  <cellStyles count="1">
    <cellStyle name="Normal" xfId="0" builtinId="0"/>
  </cellStyles>
  <dxfs count="9">
    <dxf>
      <numFmt numFmtId="164" formatCode="[$$-1009]#,##0"/>
    </dxf>
    <dxf>
      <numFmt numFmtId="164" formatCode="[$$-1009]#,##0"/>
    </dxf>
    <dxf>
      <numFmt numFmtId="164" formatCode="[$$-1009]#,##0"/>
    </dxf>
    <dxf>
      <numFmt numFmtId="164" formatCode="[$$-1009]#,##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2F2F2"/>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[HR-Dashbord.xlsx]Pivot!Pivotsells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Last</a:t>
            </a:r>
            <a:r>
              <a:rPr lang="en-IN" sz="1200" b="1" baseline="0"/>
              <a:t> 13 Weeks Trends - Qty &amp; Amount</a:t>
            </a:r>
            <a:endParaRPr lang="en-IN"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chemeClr val="accent6"/>
            </a:solidFill>
            <a:round/>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w="28575" cap="rnd">
            <a:solidFill>
              <a:schemeClr val="accent6"/>
            </a:solidFill>
            <a:round/>
          </a:ln>
          <a:effectLst/>
        </c:spPr>
        <c:marker>
          <c:symbol val="none"/>
        </c:marker>
      </c:pivotFmt>
      <c:pivotFmt>
        <c:idx val="7"/>
        <c:spPr>
          <a:solidFill>
            <a:schemeClr val="accent6"/>
          </a:solidFill>
          <a:ln w="28575" cap="rnd">
            <a:solidFill>
              <a:schemeClr val="accent6"/>
            </a:solidFill>
            <a:round/>
          </a:ln>
          <a:effectLst/>
        </c:spPr>
        <c:marker>
          <c:symbol val="none"/>
        </c:marker>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1"/>
        <c:spPr>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Pivot!$B$8</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9ED-41B0-A38C-100E7CEB574E}"/>
            </c:ext>
          </c:extLst>
        </c:ser>
        <c:dLbls>
          <c:showLegendKey val="0"/>
          <c:showVal val="0"/>
          <c:showCatName val="0"/>
          <c:showSerName val="0"/>
          <c:showPercent val="0"/>
          <c:showBubbleSize val="0"/>
        </c:dLbls>
        <c:marker val="1"/>
        <c:smooth val="0"/>
        <c:axId val="274033375"/>
        <c:axId val="274028799"/>
      </c:lineChart>
      <c:lineChart>
        <c:grouping val="standard"/>
        <c:varyColors val="0"/>
        <c:ser>
          <c:idx val="1"/>
          <c:order val="1"/>
          <c:tx>
            <c:strRef>
              <c:f>Pivot!$C$8</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Pivot!$C$9:$C$22</c:f>
              <c:numCache>
                <c:formatCode>[$$-1009]#,##0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9ED-41B0-A38C-100E7CEB574E}"/>
            </c:ext>
          </c:extLst>
        </c:ser>
        <c:dLbls>
          <c:showLegendKey val="0"/>
          <c:showVal val="0"/>
          <c:showCatName val="0"/>
          <c:showSerName val="0"/>
          <c:showPercent val="0"/>
          <c:showBubbleSize val="0"/>
        </c:dLbls>
        <c:marker val="1"/>
        <c:smooth val="0"/>
        <c:axId val="449041055"/>
        <c:axId val="449030239"/>
      </c:lineChart>
      <c:catAx>
        <c:axId val="27403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28799"/>
        <c:crosses val="autoZero"/>
        <c:auto val="1"/>
        <c:lblAlgn val="ctr"/>
        <c:lblOffset val="100"/>
        <c:noMultiLvlLbl val="0"/>
      </c:catAx>
      <c:valAx>
        <c:axId val="27402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33375"/>
        <c:crosses val="autoZero"/>
        <c:crossBetween val="between"/>
      </c:valAx>
      <c:valAx>
        <c:axId val="449030239"/>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41055"/>
        <c:crosses val="max"/>
        <c:crossBetween val="between"/>
      </c:valAx>
      <c:catAx>
        <c:axId val="449041055"/>
        <c:scaling>
          <c:orientation val="minMax"/>
        </c:scaling>
        <c:delete val="1"/>
        <c:axPos val="b"/>
        <c:numFmt formatCode="General" sourceLinked="1"/>
        <c:majorTickMark val="out"/>
        <c:minorTickMark val="none"/>
        <c:tickLblPos val="nextTo"/>
        <c:crossAx val="449030239"/>
        <c:crosses val="autoZero"/>
        <c:auto val="1"/>
        <c:lblAlgn val="ctr"/>
        <c:lblOffset val="100"/>
        <c:noMultiLvlLbl val="0"/>
      </c:cat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[HR-Dashbord.xlsx]Sheet1!PivotOrdersCount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How</a:t>
            </a:r>
            <a:r>
              <a:rPr lang="en-US" sz="1200" b="1" baseline="0"/>
              <a:t> many they buy?</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pivotFmt>
      <c:pivotFmt>
        <c:idx val="1"/>
        <c:spPr>
          <a:solidFill>
            <a:schemeClr val="accent6"/>
          </a:solidFill>
          <a:ln>
            <a:noFill/>
          </a:ln>
          <a:effectLst/>
        </c:spP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Sheet1!$A$17:$A$24</c:f>
              <c:strCache>
                <c:ptCount val="7"/>
                <c:pt idx="0">
                  <c:v>1</c:v>
                </c:pt>
                <c:pt idx="1">
                  <c:v>2</c:v>
                </c:pt>
                <c:pt idx="2">
                  <c:v>3</c:v>
                </c:pt>
                <c:pt idx="3">
                  <c:v>4</c:v>
                </c:pt>
                <c:pt idx="4">
                  <c:v>5</c:v>
                </c:pt>
                <c:pt idx="5">
                  <c:v>6 To 10</c:v>
                </c:pt>
                <c:pt idx="6">
                  <c:v>More Than 10</c:v>
                </c:pt>
              </c:strCache>
            </c:strRef>
          </c:cat>
          <c:val>
            <c:numRef>
              <c:f>Sheet1!$B$17:$B$24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BFD-4B6C-80F6-DF700A066235}"/>
            </c:ext>
          </c:extLst>
        </c:ser>
        <c:dLbls>
          <c:dLblPos val="outEnd"/>
          <c:showLegendKey val="0"/>
          <c:showVal val="1"/>
          <c:showCatName val="0"/>
          <c:showSerName val="0"/>
          <c:showPercent val="0"/>
          <c:showBubbleSize val="0"/>
        </c:dLbls>
        <c:gapWidth val="6"/>
        <c:overlap val="-27"/>
        <c:axId val="1641509568"/>
        <c:axId val="1641512480"/>
      </c:barChart>
      <c:catAx>
        <c:axId val="16415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512480"/>
        <c:crosses val="autoZero"/>
        <c:auto val="1"/>
        <c:lblAlgn val="ctr"/>
        <c:lblOffset val="100"/>
        <c:noMultiLvlLbl val="0"/>
      </c:catAx>
      <c:valAx>
        <c:axId val="1641512480"/>
        <c:scaling>
          <c:orientation val="minMax"/>
        </c:scaling>
        <c:delete val="1"/>
        <c:axPos val="l"/>
        <c:numFmt formatCode="General" sourceLinked="1"/>
        <c:majorTickMark val="none"/>
        <c:minorTickMark val="none"/>
        <c:tickLblPos val="nextTo"/>
        <c:crossAx val="164150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[HR-Dashbord.xlsx]Sheet1!PivotProduct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pivotFmt>
      <c:pivotFmt>
        <c:idx val="19"/>
        <c:spPr>
          <a:solidFill>
            <a:schemeClr val="accent6"/>
          </a:solidFill>
          <a:ln>
            <a:noFill/>
          </a:ln>
          <a:effectLst/>
        </c:spPr>
        <c:marker>
          <c:symbol val="none"/>
        </c:marker>
      </c:pivotFmt>
      <c:pivotFmt>
        <c:idx val="20"/>
        <c:spPr>
          <a:solidFill>
            <a:schemeClr val="accent6"/>
          </a:solidFill>
          <a:ln>
            <a:noFill/>
          </a:ln>
          <a:effectLst/>
        </c:spPr>
        <c:marker>
          <c:symbol val="none"/>
        </c:marker>
      </c:pivotFmt>
      <c:pivotFmt>
        <c:idx val="21"/>
        <c:spPr>
          <a:solidFill>
            <a:schemeClr val="accent6"/>
          </a:solidFill>
          <a:ln>
            <a:noFill/>
          </a:ln>
          <a:effectLst/>
        </c:spPr>
        <c:marker>
          <c:symbol val="none"/>
        </c:marker>
      </c:pivotFmt>
      <c:pivotFmt>
        <c:idx val="22"/>
        <c:spPr>
          <a:solidFill>
            <a:schemeClr val="accent6"/>
          </a:solidFill>
          <a:ln>
            <a:noFill/>
          </a:ln>
          <a:effectLst/>
        </c:spPr>
        <c:marker>
          <c:symbol val="none"/>
        </c:marker>
      </c:pivotFmt>
      <c:pivotFmt>
        <c:idx val="23"/>
        <c:spPr>
          <a:solidFill>
            <a:schemeClr val="accent6"/>
          </a:solidFill>
          <a:ln>
            <a:noFill/>
          </a:ln>
          <a:effectLst/>
        </c:spPr>
        <c:marker>
          <c:symbol val="none"/>
        </c:marker>
      </c:pivotFmt>
    </c:pivotFmts>
    <c:plotArea>
      <c:layout/>
      <c:barChart>
        <c:barDir val="bar"/>
        <c:grouping val="stacked"/>
        <c:varyColors val="0"/>
        <c:ser>
          <c:idx val="0"/>
          <c:order val="0"/>
          <c:tx>
            <c:strRef>
              <c:f>Sheet1!$B$27:$B$28</c:f>
              <c:strCache>
                <c:ptCount val="1"/>
                <c:pt idx="0">
                  <c:v>Female</c:v>
                </c:pt>
              </c:strCache>
            </c:strRef>
          </c:tx>
          <c:spPr>
            <a:solidFill>
              <a:schemeClr val="accent6"/>
            </a:solidFill>
            <a:ln>
              <a:noFill/>
            </a:ln>
            <a:effectLst/>
          </c:spPr>
          <c:invertIfNegative val="0"/>
          <c:cat>
            <c:strRef>
              <c:f>Sheet1!$A$29:$A$49</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Sheet1!$B$29:$B$49</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B374-4315-B07B-7E7C0AE35226}"/>
            </c:ext>
          </c:extLst>
        </c:ser>
        <c:ser>
          <c:idx val="1"/>
          <c:order val="1"/>
          <c:tx>
            <c:strRef>
              <c:f>Sheet1!$C$27:$C$28</c:f>
              <c:strCache>
                <c:ptCount val="1"/>
                <c:pt idx="0">
                  <c:v>Male</c:v>
                </c:pt>
              </c:strCache>
            </c:strRef>
          </c:tx>
          <c:spPr>
            <a:solidFill>
              <a:schemeClr val="accent5"/>
            </a:solidFill>
            <a:ln>
              <a:noFill/>
            </a:ln>
            <a:effectLst/>
          </c:spPr>
          <c:invertIfNegative val="0"/>
          <c:cat>
            <c:strRef>
              <c:f>Sheet1!$A$29:$A$49</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Sheet1!$C$29:$C$49</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B374-4315-B07B-7E7C0AE35226}"/>
            </c:ext>
          </c:extLst>
        </c:ser>
        <c:ser>
          <c:idx val="2"/>
          <c:order val="2"/>
          <c:tx>
            <c:strRef>
              <c:f>Sheet1!$D$27:$D$28</c:f>
              <c:strCache>
                <c:ptCount val="1"/>
                <c:pt idx="0">
                  <c:v>Other</c:v>
                </c:pt>
              </c:strCache>
            </c:strRef>
          </c:tx>
          <c:spPr>
            <a:solidFill>
              <a:schemeClr val="accent4"/>
            </a:solidFill>
            <a:ln>
              <a:noFill/>
            </a:ln>
            <a:effectLst/>
          </c:spPr>
          <c:invertIfNegative val="0"/>
          <c:cat>
            <c:strRef>
              <c:f>Sheet1!$A$29:$A$49</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Sheet1!$D$29:$D$49</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B374-4315-B07B-7E7C0AE35226}"/>
            </c:ext>
          </c:extLst>
        </c:ser>
        <c:ser>
          <c:idx val="3"/>
          <c:order val="3"/>
          <c:tx>
            <c:strRef>
              <c:f>Sheet1!$E$27:$E$28</c:f>
              <c:strCache>
                <c:ptCount val="1"/>
                <c:pt idx="0">
                  <c:v>Unknown</c:v>
                </c:pt>
              </c:strCache>
            </c:strRef>
          </c:tx>
          <c:spPr>
            <a:solidFill>
              <a:schemeClr val="accent6">
                <a:lumMod val="60000"/>
              </a:schemeClr>
            </a:solidFill>
            <a:ln>
              <a:noFill/>
            </a:ln>
            <a:effectLst/>
          </c:spPr>
          <c:invertIfNegative val="0"/>
          <c:cat>
            <c:strRef>
              <c:f>Sheet1!$A$29:$A$49</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Sheet1!$E$29:$E$49</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B374-4315-B07B-7E7C0AE35226}"/>
            </c:ext>
          </c:extLst>
        </c:ser>
        <c:dLbls>
          <c:showLegendKey val="0"/>
          <c:showVal val="0"/>
          <c:showCatName val="0"/>
          <c:showSerName val="0"/>
          <c:showPercent val="0"/>
          <c:showBubbleSize val="0"/>
        </c:dLbls>
        <c:gapWidth val="9"/>
        <c:overlap val="100"/>
        <c:axId val="1709064304"/>
        <c:axId val="1709081360"/>
      </c:barChart>
      <c:catAx>
        <c:axId val="1709064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81360"/>
        <c:crosses val="autoZero"/>
        <c:auto val="1"/>
        <c:lblAlgn val="ctr"/>
        <c:lblOffset val="100"/>
        <c:noMultiLvlLbl val="0"/>
      </c:catAx>
      <c:valAx>
        <c:axId val="170908136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[HR-Dashbord.xlsx]Sheet1!PivotGender</c:name>
    <c:fmtId val="23"/>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pivotFmt>
      <c:pivotFmt>
        <c:idx val="17"/>
        <c:spPr>
          <a:solidFill>
            <a:schemeClr val="accent6"/>
          </a:solidFill>
          <a:ln w="19050">
            <a:solidFill>
              <a:schemeClr val="lt1"/>
            </a:solidFill>
          </a:ln>
          <a:effectLst/>
        </c:spPr>
        <c:marker>
          <c:symbol val="none"/>
        </c:marker>
      </c:pivotFmt>
      <c:pivotFmt>
        <c:idx val="18"/>
        <c:spPr>
          <a:solidFill>
            <a:schemeClr val="accent6"/>
          </a:solidFill>
          <a:ln w="19050">
            <a:solidFill>
              <a:schemeClr val="lt1"/>
            </a:solidFill>
          </a:ln>
          <a:effectLst/>
        </c:spPr>
        <c:marker>
          <c:symbol val="none"/>
        </c:marker>
      </c:pivotFmt>
      <c:pivotFmt>
        <c:idx val="19"/>
        <c:spPr>
          <a:solidFill>
            <a:schemeClr val="accent6"/>
          </a:solidFill>
          <a:ln w="19050">
            <a:solidFill>
              <a:schemeClr val="lt1"/>
            </a:solidFill>
          </a:ln>
          <a:effectLst/>
        </c:spPr>
        <c:marker>
          <c:symbol val="none"/>
        </c:marker>
      </c:pivotFmt>
      <c:pivotFmt>
        <c:idx val="20"/>
        <c:spPr>
          <a:solidFill>
            <a:schemeClr val="accent6"/>
          </a:solidFill>
          <a:ln w="19050">
            <a:solidFill>
              <a:schemeClr val="lt1"/>
            </a:solidFill>
          </a:ln>
          <a:effectLst/>
        </c:spPr>
        <c:marker>
          <c:symbol val="none"/>
        </c:marker>
      </c:pivotFmt>
      <c:pivotFmt>
        <c:idx val="21"/>
        <c:spPr>
          <a:solidFill>
            <a:schemeClr val="accent6"/>
          </a:solidFill>
          <a:ln w="19050">
            <a:solidFill>
              <a:schemeClr val="lt1"/>
            </a:solidFill>
          </a:ln>
          <a:effectLst/>
        </c:spPr>
        <c:marker>
          <c:symbol val="none"/>
        </c:marker>
      </c:pivotFmt>
      <c:pivotFmt>
        <c:idx val="22"/>
        <c:spPr>
          <a:solidFill>
            <a:schemeClr val="accent6"/>
          </a:solidFill>
          <a:ln w="19050">
            <a:noFill/>
          </a:ln>
          <a:effectLst/>
        </c:spPr>
        <c:dLbl>
          <c:idx val="0"/>
          <c:numFmt formatCode="0.00%" sourceLinked="0"/>
          <c:spPr>
            <a:noFill/>
            <a:ln>
              <a:noFill/>
            </a:ln>
            <a:effectLst/>
          </c:spPr>
          <c:txPr>
            <a:bodyPr rot="0" spcFirstLastPara="1" vertOverflow="ellipsis"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3"/>
        <c:dLbl>
          <c:idx val="0"/>
          <c:layout>
            <c:manualLayout>
              <c:x val="0.11615607535145216"/>
              <c:y val="0.10535711915475379"/>
            </c:manualLayout>
          </c:layout>
          <c:numFmt formatCode="0.00%" sourceLinked="0"/>
          <c:spPr>
            <a:noFill/>
            <a:ln>
              <a:noFill/>
            </a:ln>
            <a:effectLst/>
          </c:spPr>
          <c:txPr>
            <a:bodyPr rot="0" spcFirstLastPara="1" vertOverflow="ellipsis"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083365764048598"/>
                  <c:h val="0.40762669400974261"/>
                </c:manualLayout>
              </c15:layout>
            </c:ext>
          </c:extLst>
        </c:dLbl>
      </c:pivotFmt>
      <c:pivotFmt>
        <c:idx val="24"/>
        <c:dLbl>
          <c:idx val="0"/>
          <c:layout>
            <c:manualLayout>
              <c:x val="-6.9693645210871291E-2"/>
              <c:y val="0.15803567873213076"/>
            </c:manualLayout>
          </c:layout>
          <c:showLegendKey val="0"/>
          <c:showVal val="0"/>
          <c:showCatName val="1"/>
          <c:showSerName val="0"/>
          <c:showPercent val="1"/>
          <c:showBubbleSize val="0"/>
          <c:separator> </c:separator>
          <c:extLst>
            <c:ext xmlns:c15="http://schemas.microsoft.com/office/drawing/2012/chart" uri="{CE6537A1-D6FC-4f65-9D91-7224C49458BB}"/>
          </c:extLst>
        </c:dLbl>
      </c:pivotFmt>
      <c:pivotFmt>
        <c:idx val="25"/>
        <c:dLbl>
          <c:idx val="0"/>
          <c:numFmt formatCode="0.00%" sourceLinked="0"/>
          <c:spPr>
            <a:noFill/>
            <a:ln>
              <a:noFill/>
            </a:ln>
            <a:effectLst/>
          </c:spPr>
          <c:txPr>
            <a:bodyPr rot="0" spcFirstLastPara="1" vertOverflow="ellipsis"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6"/>
        <c:spPr>
          <a:solidFill>
            <a:schemeClr val="accent6"/>
          </a:solidFill>
          <a:ln w="19050">
            <a:noFill/>
          </a:ln>
          <a:effectLst/>
        </c:spPr>
        <c:dLbl>
          <c:idx val="0"/>
          <c:layout>
            <c:manualLayout>
              <c:x val="-0.13938729042174258"/>
              <c:y val="9.2154077143805732E-2"/>
            </c:manualLayout>
          </c:layout>
          <c:tx>
            <c:rich>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fld id="{981EA5E8-492A-4C35-A69D-E4E8A15FF6FC}" type="CATEGORYNAME">
                  <a:rPr lang="en-US" b="1"/>
                  <a:pPr>
                    <a:defRPr/>
                  </a:pPr>
                  <a:t>[CATEGORY NAME]</a:t>
                </a:fld>
                <a:r>
                  <a:rPr lang="en-US" baseline="0"/>
                  <a:t> </a:t>
                </a:r>
                <a:fld id="{A1B0649C-3365-4C3B-A47E-1D97400A28D6}"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179463880262295"/>
                  <c:h val="0.35858336983501238"/>
                </c:manualLayout>
              </c15:layout>
              <c15:dlblFieldTable/>
              <c15:showDataLabelsRange val="0"/>
            </c:ext>
          </c:extLst>
        </c:dLbl>
      </c:pivotFmt>
      <c:pivotFmt>
        <c:idx val="27"/>
        <c:spPr>
          <a:solidFill>
            <a:schemeClr val="accent6"/>
          </a:solidFill>
          <a:ln w="19050">
            <a:noFill/>
          </a:ln>
          <a:effectLst/>
        </c:spPr>
        <c:dLbl>
          <c:idx val="0"/>
          <c:layout>
            <c:manualLayout>
              <c:x val="0.12777168288659738"/>
              <c:y val="4.8886670579586372E-2"/>
            </c:manualLayout>
          </c:layout>
          <c:tx>
            <c:rich>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fld id="{1733D8EF-6FB9-4C0A-902F-A8ADDD56E30F}" type="CATEGORYNAME">
                  <a:rPr lang="en-US" b="1"/>
                  <a:pPr>
                    <a:defRPr/>
                  </a:pPr>
                  <a:t>[CATEGORY NAME]</a:t>
                </a:fld>
                <a:r>
                  <a:rPr lang="en-US" baseline="0"/>
                  <a:t> </a:t>
                </a:r>
                <a:fld id="{B0A15784-9EF9-4616-9D26-D25930B37CBF}"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083365764048598"/>
                  <c:h val="0.40762669400974261"/>
                </c:manualLayout>
              </c15:layout>
              <c15:dlblFieldTable/>
              <c15:showDataLabelsRange val="0"/>
            </c:ext>
          </c:extLst>
        </c:dLbl>
      </c:pivotFmt>
      <c:pivotFmt>
        <c:idx val="28"/>
        <c:spPr>
          <a:solidFill>
            <a:schemeClr val="accent6"/>
          </a:solidFill>
          <a:ln w="19050">
            <a:noFill/>
          </a:ln>
          <a:effectLst/>
        </c:spPr>
        <c:dLbl>
          <c:idx val="0"/>
          <c:layout>
            <c:manualLayout>
              <c:x val="0.10163656593252064"/>
              <c:y val="-0.11637675488522105"/>
            </c:manualLayout>
          </c:layout>
          <c:tx>
            <c:rich>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fld id="{F5D6912B-EFA4-4CDD-B33B-2D2B9EB277EE}" type="CATEGORYNAME">
                  <a:rPr lang="en-US" b="1"/>
                  <a:pPr>
                    <a:defRPr/>
                  </a:pPr>
                  <a:t>[CATEGORY NAME]</a:t>
                </a:fld>
                <a:r>
                  <a:rPr lang="en-US" b="1" baseline="0"/>
                  <a:t> </a:t>
                </a:r>
                <a:fld id="{ABF3CF13-667F-4A57-88B2-C3E013FDFCA9}" type="PERCENTAGE">
                  <a:rPr lang="en-US" baseline="0"/>
                  <a:pPr>
                    <a:defRPr/>
                  </a:pPr>
                  <a:t>[PERCENTAGE]</a:t>
                </a:fld>
                <a:endParaRPr lang="en-US" b="1" baseline="0"/>
              </a:p>
            </c:rich>
          </c:tx>
          <c:numFmt formatCode="0.00%" sourceLinked="0"/>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0790094539155344"/>
                  <c:h val="0.23623067254790361"/>
                </c:manualLayout>
              </c15:layout>
              <c15:dlblFieldTable/>
              <c15:showDataLabelsRange val="0"/>
            </c:ext>
          </c:extLst>
        </c:dLbl>
      </c:pivotFmt>
      <c:pivotFmt>
        <c:idx val="29"/>
        <c:spPr>
          <a:solidFill>
            <a:schemeClr val="accent6"/>
          </a:solidFill>
          <a:ln w="19050">
            <a:noFill/>
          </a:ln>
          <a:effectLst/>
        </c:spPr>
        <c:dLbl>
          <c:idx val="0"/>
          <c:layout>
            <c:manualLayout>
              <c:x val="-7.5501448978443908E-2"/>
              <c:y val="-0.13134441401062416"/>
            </c:manualLayout>
          </c:layout>
          <c:tx>
            <c:rich>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fld id="{719F98AE-0D1E-4197-8C91-581EDB138ED0}" type="CATEGORYNAME">
                  <a:rPr lang="en-US" b="1"/>
                  <a:pPr>
                    <a:defRPr/>
                  </a:pPr>
                  <a:t>[CATEGORY NAME]</a:t>
                </a:fld>
                <a:r>
                  <a:rPr lang="en-US" baseline="0"/>
                  <a:t> </a:t>
                </a:r>
                <a:fld id="{ED0D782F-698F-434E-9789-1733FBEAC9E4}"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Lst>
        </c:dLbl>
      </c:pivotFmt>
      <c:pivotFmt>
        <c:idx val="30"/>
        <c:spPr>
          <a:solidFill>
            <a:schemeClr val="accent6"/>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Sheet1!$J$32</c:f>
              <c:strCache>
                <c:ptCount val="1"/>
                <c:pt idx="0">
                  <c:v>Total</c:v>
                </c:pt>
              </c:strCache>
            </c:strRef>
          </c:tx>
          <c:spPr>
            <a:ln>
              <a:noFill/>
            </a:ln>
          </c:spPr>
          <c:dPt>
            <c:idx val="0"/>
            <c:bubble3D val="0"/>
            <c:spPr>
              <a:solidFill>
                <a:schemeClr val="accent6"/>
              </a:solidFill>
              <a:ln w="19050">
                <a:noFill/>
              </a:ln>
              <a:effectLst/>
            </c:spPr>
            <c:extLst>
              <c:ext xmlns:c16="http://schemas.microsoft.com/office/drawing/2014/chart" uri="{C3380CC4-5D6E-409C-BE32-E72D297353CC}">
                <c16:uniqueId val="{00000001-FD8A-4219-96D4-65B937A15890}"/>
              </c:ext>
            </c:extLst>
          </c:dPt>
          <c:dPt>
            <c:idx val="1"/>
            <c:bubble3D val="0"/>
            <c:spPr>
              <a:solidFill>
                <a:schemeClr val="accent5"/>
              </a:solidFill>
              <a:ln w="19050">
                <a:noFill/>
              </a:ln>
              <a:effectLst/>
            </c:spPr>
            <c:extLst>
              <c:ext xmlns:c16="http://schemas.microsoft.com/office/drawing/2014/chart" uri="{C3380CC4-5D6E-409C-BE32-E72D297353CC}">
                <c16:uniqueId val="{00000003-FD8A-4219-96D4-65B937A15890}"/>
              </c:ext>
            </c:extLst>
          </c:dPt>
          <c:dPt>
            <c:idx val="2"/>
            <c:bubble3D val="0"/>
            <c:spPr>
              <a:solidFill>
                <a:schemeClr val="accent4"/>
              </a:solidFill>
              <a:ln w="19050">
                <a:noFill/>
              </a:ln>
              <a:effectLst/>
            </c:spPr>
            <c:extLst>
              <c:ext xmlns:c16="http://schemas.microsoft.com/office/drawing/2014/chart" uri="{C3380CC4-5D6E-409C-BE32-E72D297353CC}">
                <c16:uniqueId val="{00000005-FD8A-4219-96D4-65B937A15890}"/>
              </c:ext>
            </c:extLst>
          </c:dPt>
          <c:dPt>
            <c:idx val="3"/>
            <c:bubble3D val="0"/>
            <c:spPr>
              <a:solidFill>
                <a:schemeClr val="accent6">
                  <a:lumMod val="60000"/>
                </a:schemeClr>
              </a:solidFill>
              <a:ln w="19050">
                <a:noFill/>
              </a:ln>
              <a:effectLst/>
            </c:spPr>
            <c:extLst>
              <c:ext xmlns:c16="http://schemas.microsoft.com/office/drawing/2014/chart" uri="{C3380CC4-5D6E-409C-BE32-E72D297353CC}">
                <c16:uniqueId val="{00000007-FD8A-4219-96D4-65B937A15890}"/>
              </c:ext>
            </c:extLst>
          </c:dPt>
          <c:dLbls>
            <c:dLbl>
              <c:idx val="0"/>
              <c:layout>
                <c:manualLayout>
                  <c:x val="0.12777168288659738"/>
                  <c:y val="4.8886670579586372E-2"/>
                </c:manualLayout>
              </c:layout>
              <c:tx>
                <c:rich>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fld id="{1733D8EF-6FB9-4C0A-902F-A8ADDD56E30F}" type="CATEGORYNAME">
                      <a:rPr lang="en-US" b="1"/>
                      <a:pPr>
                        <a:defRPr/>
                      </a:pPr>
                      <a:t>[CATEGORY NAME]</a:t>
                    </a:fld>
                    <a:r>
                      <a:rPr lang="en-US" baseline="0"/>
                      <a:t> </a:t>
                    </a:r>
                    <a:fld id="{B0A15784-9EF9-4616-9D26-D25930B37CBF}"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083365764048598"/>
                      <c:h val="0.40762669400974261"/>
                    </c:manualLayout>
                  </c15:layout>
                  <c15:dlblFieldTable/>
                  <c15:showDataLabelsRange val="0"/>
                </c:ext>
                <c:ext xmlns:c16="http://schemas.microsoft.com/office/drawing/2014/chart" uri="{C3380CC4-5D6E-409C-BE32-E72D297353CC}">
                  <c16:uniqueId val="{00000001-FD8A-4219-96D4-65B937A15890}"/>
                </c:ext>
              </c:extLst>
            </c:dLbl>
            <c:dLbl>
              <c:idx val="1"/>
              <c:layout>
                <c:manualLayout>
                  <c:x val="-0.13938729042174258"/>
                  <c:y val="9.2154077143805732E-2"/>
                </c:manualLayout>
              </c:layout>
              <c:tx>
                <c:rich>
                  <a:bodyPr/>
                  <a:lstStyle/>
                  <a:p>
                    <a:fld id="{981EA5E8-492A-4C35-A69D-E4E8A15FF6FC}" type="CATEGORYNAME">
                      <a:rPr lang="en-US" b="1"/>
                      <a:pPr/>
                      <a:t>[CATEGORY NAME]</a:t>
                    </a:fld>
                    <a:r>
                      <a:rPr lang="en-US" baseline="0"/>
                      <a:t> </a:t>
                    </a:r>
                    <a:fld id="{A1B0649C-3365-4C3B-A47E-1D97400A28D6}" type="PERCENTAGE">
                      <a:rPr lang="en-US" baseline="0"/>
                      <a:pPr/>
                      <a:t>[PERCENTAGE]</a:t>
                    </a:fld>
                    <a:endParaRPr lang="en-US" baseline="0"/>
                  </a:p>
                </c:rich>
              </c:tx>
              <c:showLegendKey val="0"/>
              <c:showVal val="0"/>
              <c:showCatName val="1"/>
              <c:showSerName val="0"/>
              <c:showPercent val="1"/>
              <c:showBubbleSize val="0"/>
              <c:separator> </c:separator>
              <c:extLst>
                <c:ext xmlns:c15="http://schemas.microsoft.com/office/drawing/2012/chart" uri="{CE6537A1-D6FC-4f65-9D91-7224C49458BB}">
                  <c15:layout>
                    <c:manualLayout>
                      <c:w val="0.28179463880262295"/>
                      <c:h val="0.35858336983501238"/>
                    </c:manualLayout>
                  </c15:layout>
                  <c15:dlblFieldTable/>
                  <c15:showDataLabelsRange val="0"/>
                </c:ext>
                <c:ext xmlns:c16="http://schemas.microsoft.com/office/drawing/2014/chart" uri="{C3380CC4-5D6E-409C-BE32-E72D297353CC}">
                  <c16:uniqueId val="{00000003-FD8A-4219-96D4-65B937A15890}"/>
                </c:ext>
              </c:extLst>
            </c:dLbl>
            <c:dLbl>
              <c:idx val="2"/>
              <c:layout>
                <c:manualLayout>
                  <c:x val="-7.5501448978443908E-2"/>
                  <c:y val="-0.13134441401062416"/>
                </c:manualLayout>
              </c:layout>
              <c:tx>
                <c:rich>
                  <a:bodyPr/>
                  <a:lstStyle/>
                  <a:p>
                    <a:fld id="{719F98AE-0D1E-4197-8C91-581EDB138ED0}" type="CATEGORYNAME">
                      <a:rPr lang="en-US" b="1"/>
                      <a:pPr/>
                      <a:t>[CATEGORY NAME]</a:t>
                    </a:fld>
                    <a:r>
                      <a:rPr lang="en-US" baseline="0"/>
                      <a:t> </a:t>
                    </a:r>
                    <a:fld id="{ED0D782F-698F-434E-9789-1733FBEAC9E4}" type="PERCENTAGE">
                      <a:rPr lang="en-US" baseline="0"/>
                      <a:pPr/>
                      <a:t>[PERCENTAGE]</a:t>
                    </a:fld>
                    <a:endParaRPr lang="en-US" baseline="0"/>
                  </a:p>
                </c:rich>
              </c:tx>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FD8A-4219-96D4-65B937A15890}"/>
                </c:ext>
              </c:extLst>
            </c:dLbl>
            <c:dLbl>
              <c:idx val="3"/>
              <c:layout>
                <c:manualLayout>
                  <c:x val="0.10163656593252064"/>
                  <c:y val="-0.11637675488522105"/>
                </c:manualLayout>
              </c:layout>
              <c:tx>
                <c:rich>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fld id="{F5D6912B-EFA4-4CDD-B33B-2D2B9EB277EE}" type="CATEGORYNAME">
                      <a:rPr lang="en-US" b="1"/>
                      <a:pPr>
                        <a:defRPr/>
                      </a:pPr>
                      <a:t>[CATEGORY NAME]</a:t>
                    </a:fld>
                    <a:r>
                      <a:rPr lang="en-US" b="1" baseline="0"/>
                      <a:t> </a:t>
                    </a:r>
                    <a:fld id="{ABF3CF13-667F-4A57-88B2-C3E013FDFCA9}" type="PERCENTAGE">
                      <a:rPr lang="en-US" baseline="0"/>
                      <a:pPr>
                        <a:defRPr/>
                      </a:pPr>
                      <a:t>[PERCENTAGE]</a:t>
                    </a:fld>
                    <a:endParaRPr lang="en-US" b="1" baseline="0"/>
                  </a:p>
                </c:rich>
              </c:tx>
              <c:numFmt formatCode="0.00%" sourceLinked="0"/>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0790094539155344"/>
                      <c:h val="0.23623067254790361"/>
                    </c:manualLayout>
                  </c15:layout>
                  <c15:dlblFieldTable/>
                  <c15:showDataLabelsRange val="0"/>
                </c:ext>
                <c:ext xmlns:c16="http://schemas.microsoft.com/office/drawing/2014/chart" uri="{C3380CC4-5D6E-409C-BE32-E72D297353CC}">
                  <c16:uniqueId val="{00000007-FD8A-4219-96D4-65B937A15890}"/>
                </c:ext>
              </c:extLst>
            </c:dLbl>
            <c:numFmt formatCode="0.00%" sourceLinked="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Sheet1!$I$33:$I$37</c:f>
              <c:strCache>
                <c:ptCount val="4"/>
                <c:pt idx="0">
                  <c:v>Female</c:v>
                </c:pt>
                <c:pt idx="1">
                  <c:v>Male</c:v>
                </c:pt>
                <c:pt idx="2">
                  <c:v>Other</c:v>
                </c:pt>
                <c:pt idx="3">
                  <c:v>Unknown</c:v>
                </c:pt>
              </c:strCache>
            </c:strRef>
          </c:cat>
          <c:val>
            <c:numRef>
              <c:f>Sheet1!$J$33:$J$37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D8A-4219-96D4-65B937A15890}"/>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[HR-Dashbord.xlsx]Pivot!PivotDilvery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How</a:t>
            </a:r>
            <a:r>
              <a:rPr lang="en-US" sz="1200" b="1" baseline="0"/>
              <a:t> long we take to ship?</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Pivot!$B$26</c:f>
              <c:strCache>
                <c:ptCount val="1"/>
                <c:pt idx="0">
                  <c:v>Total</c:v>
                </c:pt>
              </c:strCache>
            </c:strRef>
          </c:tx>
          <c:spPr>
            <a:solidFill>
              <a:schemeClr val="accent6"/>
            </a:solidFill>
            <a:ln>
              <a:noFill/>
            </a:ln>
            <a:effectLst/>
          </c:spPr>
          <c:invertIfNegative val="0"/>
          <c:cat>
            <c:strRef>
              <c:f>Pivot!$A$27:$A$42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Pivot!$B$27:$B$42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570-4930-B624-1FB3B758A136}"/>
            </c:ext>
          </c:extLst>
        </c:ser>
        <c:dLbls>
          <c:showLegendKey val="0"/>
          <c:showVal val="0"/>
          <c:showCatName val="0"/>
          <c:showSerName val="0"/>
          <c:showPercent val="0"/>
          <c:showBubbleSize val="0"/>
        </c:dLbls>
        <c:gapWidth val="10"/>
        <c:overlap val="-27"/>
        <c:axId val="1090866143"/>
        <c:axId val="1090882783"/>
      </c:barChart>
      <c:catAx>
        <c:axId val="109086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82783"/>
        <c:crosses val="autoZero"/>
        <c:auto val="1"/>
        <c:lblAlgn val="ctr"/>
        <c:lblOffset val="100"/>
        <c:noMultiLvlLbl val="0"/>
      </c:catAx>
      <c:valAx>
        <c:axId val="109088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6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[HR-Dashbord.xlsx]Pivot!PivotRating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How</a:t>
            </a:r>
            <a:r>
              <a:rPr lang="en-IN" sz="1200" b="1" baseline="0"/>
              <a:t> satisfied are our customer?</a:t>
            </a:r>
            <a:endParaRPr lang="en-IN"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
        <c:idx val="13"/>
        <c:spPr>
          <a:solidFill>
            <a:schemeClr val="accent6"/>
          </a:solidFill>
          <a:ln>
            <a:noFill/>
          </a:ln>
          <a:effectLst/>
        </c:spPr>
        <c:marker>
          <c:symbol val="none"/>
        </c:marker>
      </c:pivotFmt>
      <c:pivotFmt>
        <c:idx val="14"/>
        <c:spPr>
          <a:solidFill>
            <a:schemeClr val="accent6"/>
          </a:solidFill>
          <a:ln>
            <a:noFill/>
          </a:ln>
          <a:effectLst/>
        </c:spPr>
        <c:marker>
          <c:symbol val="none"/>
        </c:marker>
      </c:pivotFmt>
    </c:pivotFmts>
    <c:plotArea>
      <c:layout/>
      <c:barChart>
        <c:barDir val="col"/>
        <c:grouping val="clustered"/>
        <c:varyColors val="0"/>
        <c:ser>
          <c:idx val="0"/>
          <c:order val="0"/>
          <c:tx>
            <c:strRef>
              <c:f>Pivot!$E$28:$E$29</c:f>
              <c:strCache>
                <c:ptCount val="1"/>
                <c:pt idx="0">
                  <c:v>1</c:v>
                </c:pt>
              </c:strCache>
            </c:strRef>
          </c:tx>
          <c:spPr>
            <a:solidFill>
              <a:schemeClr val="accent6"/>
            </a:solidFill>
            <a:ln>
              <a:noFill/>
            </a:ln>
            <a:effectLst/>
          </c:spPr>
          <c:invertIfNegative val="0"/>
          <c:cat>
            <c:strRef>
              <c:f>Pivot!$D$30:$D$33</c:f>
              <c:strCache>
                <c:ptCount val="3"/>
                <c:pt idx="0">
                  <c:v>Jan</c:v>
                </c:pt>
                <c:pt idx="1">
                  <c:v>Feb</c:v>
                </c:pt>
                <c:pt idx="2">
                  <c:v>Mar</c:v>
                </c:pt>
              </c:strCache>
            </c:strRef>
          </c:cat>
          <c:val>
            <c:numRef>
              <c:f>Pivot!$E$30:$E$33</c:f>
              <c:numCache>
                <c:formatCode>General</c:formatCode>
                <c:ptCount val="3"/>
                <c:pt idx="0">
                  <c:v>7</c:v>
                </c:pt>
                <c:pt idx="1">
                  <c:v>8</c:v>
                </c:pt>
                <c:pt idx="2">
                  <c:v>6</c:v>
                </c:pt>
              </c:numCache>
            </c:numRef>
          </c:val>
          <c:extLst>
            <c:ext xmlns:c16="http://schemas.microsoft.com/office/drawing/2014/chart" uri="{C3380CC4-5D6E-409C-BE32-E72D297353CC}">
              <c16:uniqueId val="{00000000-ED84-4555-ACE4-01381A0D4457}"/>
            </c:ext>
          </c:extLst>
        </c:ser>
        <c:ser>
          <c:idx val="1"/>
          <c:order val="1"/>
          <c:tx>
            <c:strRef>
              <c:f>Pivot!$F$28:$F$29</c:f>
              <c:strCache>
                <c:ptCount val="1"/>
                <c:pt idx="0">
                  <c:v>2</c:v>
                </c:pt>
              </c:strCache>
            </c:strRef>
          </c:tx>
          <c:spPr>
            <a:solidFill>
              <a:schemeClr val="accent5"/>
            </a:solidFill>
            <a:ln>
              <a:noFill/>
            </a:ln>
            <a:effectLst/>
          </c:spPr>
          <c:invertIfNegative val="0"/>
          <c:cat>
            <c:strRef>
              <c:f>Pivot!$D$30:$D$33</c:f>
              <c:strCache>
                <c:ptCount val="3"/>
                <c:pt idx="0">
                  <c:v>Jan</c:v>
                </c:pt>
                <c:pt idx="1">
                  <c:v>Feb</c:v>
                </c:pt>
                <c:pt idx="2">
                  <c:v>Mar</c:v>
                </c:pt>
              </c:strCache>
            </c:strRef>
          </c:cat>
          <c:val>
            <c:numRef>
              <c:f>Pivot!$F$30:$F$33</c:f>
              <c:numCache>
                <c:formatCode>General</c:formatCode>
                <c:ptCount val="3"/>
                <c:pt idx="0">
                  <c:v>37</c:v>
                </c:pt>
                <c:pt idx="1">
                  <c:v>51</c:v>
                </c:pt>
                <c:pt idx="2">
                  <c:v>39</c:v>
                </c:pt>
              </c:numCache>
            </c:numRef>
          </c:val>
          <c:extLst>
            <c:ext xmlns:c16="http://schemas.microsoft.com/office/drawing/2014/chart" uri="{C3380CC4-5D6E-409C-BE32-E72D297353CC}">
              <c16:uniqueId val="{00000003-ED84-4555-ACE4-01381A0D4457}"/>
            </c:ext>
          </c:extLst>
        </c:ser>
        <c:ser>
          <c:idx val="2"/>
          <c:order val="2"/>
          <c:tx>
            <c:strRef>
              <c:f>Pivot!$G$28:$G$29</c:f>
              <c:strCache>
                <c:ptCount val="1"/>
                <c:pt idx="0">
                  <c:v>3</c:v>
                </c:pt>
              </c:strCache>
            </c:strRef>
          </c:tx>
          <c:spPr>
            <a:solidFill>
              <a:schemeClr val="accent4"/>
            </a:solidFill>
            <a:ln>
              <a:noFill/>
            </a:ln>
            <a:effectLst/>
          </c:spPr>
          <c:invertIfNegative val="0"/>
          <c:cat>
            <c:strRef>
              <c:f>Pivot!$D$30:$D$33</c:f>
              <c:strCache>
                <c:ptCount val="3"/>
                <c:pt idx="0">
                  <c:v>Jan</c:v>
                </c:pt>
                <c:pt idx="1">
                  <c:v>Feb</c:v>
                </c:pt>
                <c:pt idx="2">
                  <c:v>Mar</c:v>
                </c:pt>
              </c:strCache>
            </c:strRef>
          </c:cat>
          <c:val>
            <c:numRef>
              <c:f>Pivot!$G$30:$G$33</c:f>
              <c:numCache>
                <c:formatCode>General</c:formatCode>
                <c:ptCount val="3"/>
                <c:pt idx="0">
                  <c:v>150</c:v>
                </c:pt>
                <c:pt idx="1">
                  <c:v>182</c:v>
                </c:pt>
                <c:pt idx="2">
                  <c:v>163</c:v>
                </c:pt>
              </c:numCache>
            </c:numRef>
          </c:val>
          <c:extLst>
            <c:ext xmlns:c16="http://schemas.microsoft.com/office/drawing/2014/chart" uri="{C3380CC4-5D6E-409C-BE32-E72D297353CC}">
              <c16:uniqueId val="{00000004-ED84-4555-ACE4-01381A0D4457}"/>
            </c:ext>
          </c:extLst>
        </c:ser>
        <c:ser>
          <c:idx val="3"/>
          <c:order val="3"/>
          <c:tx>
            <c:strRef>
              <c:f>Pivot!$H$28:$H$29</c:f>
              <c:strCache>
                <c:ptCount val="1"/>
                <c:pt idx="0">
                  <c:v>4</c:v>
                </c:pt>
              </c:strCache>
            </c:strRef>
          </c:tx>
          <c:spPr>
            <a:solidFill>
              <a:schemeClr val="accent6">
                <a:lumMod val="60000"/>
              </a:schemeClr>
            </a:solidFill>
            <a:ln>
              <a:noFill/>
            </a:ln>
            <a:effectLst/>
          </c:spPr>
          <c:invertIfNegative val="0"/>
          <c:cat>
            <c:strRef>
              <c:f>Pivot!$D$30:$D$33</c:f>
              <c:strCache>
                <c:ptCount val="3"/>
                <c:pt idx="0">
                  <c:v>Jan</c:v>
                </c:pt>
                <c:pt idx="1">
                  <c:v>Feb</c:v>
                </c:pt>
                <c:pt idx="2">
                  <c:v>Mar</c:v>
                </c:pt>
              </c:strCache>
            </c:strRef>
          </c:cat>
          <c:val>
            <c:numRef>
              <c:f>Pivot!$H$30:$H$33</c:f>
              <c:numCache>
                <c:formatCode>General</c:formatCode>
                <c:ptCount val="3"/>
                <c:pt idx="0">
                  <c:v>312</c:v>
                </c:pt>
                <c:pt idx="1">
                  <c:v>373</c:v>
                </c:pt>
                <c:pt idx="2">
                  <c:v>351</c:v>
                </c:pt>
              </c:numCache>
            </c:numRef>
          </c:val>
          <c:extLst>
            <c:ext xmlns:c16="http://schemas.microsoft.com/office/drawing/2014/chart" uri="{C3380CC4-5D6E-409C-BE32-E72D297353CC}">
              <c16:uniqueId val="{00000005-ED84-4555-ACE4-01381A0D4457}"/>
            </c:ext>
          </c:extLst>
        </c:ser>
        <c:ser>
          <c:idx val="4"/>
          <c:order val="4"/>
          <c:tx>
            <c:strRef>
              <c:f>Pivot!$I$28:$I$29</c:f>
              <c:strCache>
                <c:ptCount val="1"/>
                <c:pt idx="0">
                  <c:v>5</c:v>
                </c:pt>
              </c:strCache>
            </c:strRef>
          </c:tx>
          <c:spPr>
            <a:solidFill>
              <a:schemeClr val="accent5">
                <a:lumMod val="60000"/>
              </a:schemeClr>
            </a:solidFill>
            <a:ln>
              <a:noFill/>
            </a:ln>
            <a:effectLst/>
          </c:spPr>
          <c:invertIfNegative val="0"/>
          <c:cat>
            <c:strRef>
              <c:f>Pivot!$D$30:$D$33</c:f>
              <c:strCache>
                <c:ptCount val="3"/>
                <c:pt idx="0">
                  <c:v>Jan</c:v>
                </c:pt>
                <c:pt idx="1">
                  <c:v>Feb</c:v>
                </c:pt>
                <c:pt idx="2">
                  <c:v>Mar</c:v>
                </c:pt>
              </c:strCache>
            </c:strRef>
          </c:cat>
          <c:val>
            <c:numRef>
              <c:f>Pivot!$I$30:$I$33</c:f>
              <c:numCache>
                <c:formatCode>General</c:formatCode>
                <c:ptCount val="3"/>
                <c:pt idx="0">
                  <c:v>224</c:v>
                </c:pt>
                <c:pt idx="1">
                  <c:v>247</c:v>
                </c:pt>
                <c:pt idx="2">
                  <c:v>250</c:v>
                </c:pt>
              </c:numCache>
            </c:numRef>
          </c:val>
          <c:extLst>
            <c:ext xmlns:c16="http://schemas.microsoft.com/office/drawing/2014/chart" uri="{C3380CC4-5D6E-409C-BE32-E72D297353CC}">
              <c16:uniqueId val="{00000000-208F-4A27-B2EF-8E7E9F25ABCA}"/>
            </c:ext>
          </c:extLst>
        </c:ser>
        <c:dLbls>
          <c:showLegendKey val="0"/>
          <c:showVal val="0"/>
          <c:showCatName val="0"/>
          <c:showSerName val="0"/>
          <c:showPercent val="0"/>
          <c:showBubbleSize val="0"/>
        </c:dLbls>
        <c:gapWidth val="219"/>
        <c:overlap val="-27"/>
        <c:axId val="1090863647"/>
        <c:axId val="1090867807"/>
      </c:barChart>
      <c:catAx>
        <c:axId val="10908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67807"/>
        <c:crosses val="autoZero"/>
        <c:auto val="1"/>
        <c:lblAlgn val="ctr"/>
        <c:lblOffset val="100"/>
        <c:noMultiLvlLbl val="0"/>
      </c:catAx>
      <c:valAx>
        <c:axId val="109086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63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07/relationships/hdphoto" Target="../media/hdphoto1.wdp"/><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92732</xdr:colOff>
      <xdr:row>0</xdr:row>
      <xdr:rowOff>0</xdr:rowOff>
    </xdr:from>
    <xdr:to>
      <xdr:col>25</xdr:col>
      <xdr:colOff>674088</xdr:colOff>
      <xdr:row>42</xdr:row>
      <xdr:rowOff>157307</xdr:rowOff>
    </xdr:to>
    <xdr:sp macro="" textlink="">
      <xdr:nvSpPr>
        <xdr:cNvPr id="4" name="Rectangle 3"/>
        <xdr:cNvSpPr/>
      </xdr:nvSpPr>
      <xdr:spPr>
        <a:xfrm>
          <a:off x="92732" y="0"/>
          <a:ext cx="17900981" cy="7491557"/>
        </a:xfrm>
        <a:prstGeom prst="rect">
          <a:avLst/>
        </a:prstGeom>
        <a:solidFill>
          <a:srgbClr val="F2F2F2"/>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19050</xdr:colOff>
      <xdr:row>0</xdr:row>
      <xdr:rowOff>1242</xdr:rowOff>
    </xdr:from>
    <xdr:to>
      <xdr:col>3</xdr:col>
      <xdr:colOff>0</xdr:colOff>
      <xdr:row>42</xdr:row>
      <xdr:rowOff>173935</xdr:rowOff>
    </xdr:to>
    <xdr:sp macro="" textlink="">
      <xdr:nvSpPr>
        <xdr:cNvPr id="3" name="Rectangle 2"/>
        <xdr:cNvSpPr/>
      </xdr:nvSpPr>
      <xdr:spPr>
        <a:xfrm>
          <a:off x="19050" y="1242"/>
          <a:ext cx="2289362" cy="7703046"/>
        </a:xfrm>
        <a:prstGeom prst="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solidFill>
            <a:schemeClr val="accent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0</xdr:col>
      <xdr:colOff>176659</xdr:colOff>
      <xdr:row>3</xdr:row>
      <xdr:rowOff>37357</xdr:rowOff>
    </xdr:from>
    <xdr:to>
      <xdr:col>1</xdr:col>
      <xdr:colOff>1564587</xdr:colOff>
      <xdr:row>5</xdr:row>
      <xdr:rowOff>173426</xdr:rowOff>
    </xdr:to>
    <xdr:sp macro="" textlink="Pivot!G4">
      <xdr:nvSpPr>
        <xdr:cNvPr id="5" name="Rounded Rectangle 4"/>
        <xdr:cNvSpPr/>
      </xdr:nvSpPr>
      <xdr:spPr>
        <a:xfrm>
          <a:off x="176659" y="575239"/>
          <a:ext cx="1735310" cy="494658"/>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9D16A302-EF4D-4E9F-9BD8-6154E8DE64EA}" type="TxLink">
            <a:rPr lang="en-US"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rPr>
            <a:pPr marL="0" indent="0" algn="l"/>
            <a:t>2,400</a:t>
          </a:fld>
          <a:endParaRPr lang="en-IN"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endParaRPr>
        </a:p>
      </xdr:txBody>
    </xdr:sp>
    <xdr:clientData/>
  </xdr:twoCellAnchor>
  <xdr:twoCellAnchor>
    <xdr:from>
      <xdr:col>0</xdr:col>
      <xdr:colOff>176659</xdr:colOff>
      <xdr:row>6</xdr:row>
      <xdr:rowOff>61110</xdr:rowOff>
    </xdr:from>
    <xdr:to>
      <xdr:col>1</xdr:col>
      <xdr:colOff>1548256</xdr:colOff>
      <xdr:row>9</xdr:row>
      <xdr:rowOff>61313</xdr:rowOff>
    </xdr:to>
    <xdr:sp macro="" textlink="Pivot!I4">
      <xdr:nvSpPr>
        <xdr:cNvPr id="6" name="Rounded Rectangle 5"/>
        <xdr:cNvSpPr/>
      </xdr:nvSpPr>
      <xdr:spPr>
        <a:xfrm>
          <a:off x="176659" y="1136875"/>
          <a:ext cx="1718979" cy="53808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2C8D46BA-00CF-4FD0-806F-5EB2DF70BFE8}" type="TxLink">
            <a:rPr lang="en-US"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rPr>
            <a:pPr marL="0" indent="0" algn="l"/>
            <a:t>11,997</a:t>
          </a:fld>
          <a:endParaRPr lang="en-IN"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endParaRPr>
        </a:p>
      </xdr:txBody>
    </xdr:sp>
    <xdr:clientData/>
  </xdr:twoCellAnchor>
  <xdr:twoCellAnchor>
    <xdr:from>
      <xdr:col>0</xdr:col>
      <xdr:colOff>176659</xdr:colOff>
      <xdr:row>9</xdr:row>
      <xdr:rowOff>128291</xdr:rowOff>
    </xdr:from>
    <xdr:to>
      <xdr:col>1</xdr:col>
      <xdr:colOff>1632623</xdr:colOff>
      <xdr:row>13</xdr:row>
      <xdr:rowOff>18191</xdr:rowOff>
    </xdr:to>
    <xdr:sp macro="" textlink="Pivot!H4">
      <xdr:nvSpPr>
        <xdr:cNvPr id="7" name="Rounded Rectangle 6"/>
        <xdr:cNvSpPr/>
      </xdr:nvSpPr>
      <xdr:spPr>
        <a:xfrm>
          <a:off x="176659" y="1741938"/>
          <a:ext cx="1803346" cy="60707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2250F777-9190-4D1C-99F8-032A2568E3EE}" type="TxLink">
            <a:rPr lang="en-US"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rPr>
            <a:pPr marL="0" indent="0" algn="l"/>
            <a:t>$649.0k</a:t>
          </a:fld>
          <a:endParaRPr lang="en-IN"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endParaRPr>
        </a:p>
      </xdr:txBody>
    </xdr:sp>
    <xdr:clientData/>
  </xdr:twoCellAnchor>
  <xdr:twoCellAnchor>
    <xdr:from>
      <xdr:col>0</xdr:col>
      <xdr:colOff>176659</xdr:colOff>
      <xdr:row>13</xdr:row>
      <xdr:rowOff>85169</xdr:rowOff>
    </xdr:from>
    <xdr:to>
      <xdr:col>1</xdr:col>
      <xdr:colOff>1631023</xdr:colOff>
      <xdr:row>16</xdr:row>
      <xdr:rowOff>113745</xdr:rowOff>
    </xdr:to>
    <xdr:sp macro="" textlink="Pivot!J4">
      <xdr:nvSpPr>
        <xdr:cNvPr id="8" name="Rounded Rectangle 7"/>
        <xdr:cNvSpPr/>
      </xdr:nvSpPr>
      <xdr:spPr>
        <a:xfrm>
          <a:off x="176659" y="2415993"/>
          <a:ext cx="1801746" cy="566458"/>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F8EFD99D-D012-492F-AA7C-61B59E97FBB3}" type="TxLink">
            <a:rPr lang="en-US"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rPr>
            <a:pPr marL="0" indent="0" algn="l"/>
            <a:t>2.3</a:t>
          </a:fld>
          <a:endParaRPr lang="en-IN"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endParaRPr>
        </a:p>
      </xdr:txBody>
    </xdr:sp>
    <xdr:clientData/>
  </xdr:twoCellAnchor>
  <xdr:twoCellAnchor>
    <xdr:from>
      <xdr:col>0</xdr:col>
      <xdr:colOff>176659</xdr:colOff>
      <xdr:row>17</xdr:row>
      <xdr:rowOff>1432</xdr:rowOff>
    </xdr:from>
    <xdr:to>
      <xdr:col>1</xdr:col>
      <xdr:colOff>1631023</xdr:colOff>
      <xdr:row>19</xdr:row>
      <xdr:rowOff>155075</xdr:rowOff>
    </xdr:to>
    <xdr:sp macro="" textlink="Pivot!K4">
      <xdr:nvSpPr>
        <xdr:cNvPr id="9" name="Rounded Rectangle 8"/>
        <xdr:cNvSpPr/>
      </xdr:nvSpPr>
      <xdr:spPr>
        <a:xfrm>
          <a:off x="176659" y="3049432"/>
          <a:ext cx="1801746" cy="512231"/>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374659DC-21B2-40C7-A60B-E41DE0DD28F9}" type="TxLink">
            <a:rPr lang="en-US"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rPr>
            <a:pPr marL="0" indent="0" algn="l"/>
            <a:t>4.0</a:t>
          </a:fld>
          <a:endParaRPr lang="en-IN" sz="1800" b="1" i="0" u="none" strike="noStrike" cap="none" spc="50">
            <a:ln w="0"/>
            <a:solidFill>
              <a:schemeClr val="bg2"/>
            </a:solidFill>
            <a:effectLst>
              <a:outerShdw blurRad="50800" dist="38100" dir="13500000" algn="br" rotWithShape="0">
                <a:prstClr val="black">
                  <a:alpha val="40000"/>
                </a:prstClr>
              </a:outerShdw>
            </a:effectLst>
            <a:latin typeface="Aptos Narrow"/>
            <a:ea typeface="+mn-ea"/>
            <a:cs typeface="+mn-cs"/>
          </a:endParaRPr>
        </a:p>
      </xdr:txBody>
    </xdr:sp>
    <xdr:clientData/>
  </xdr:twoCellAnchor>
  <xdr:oneCellAnchor>
    <xdr:from>
      <xdr:col>0</xdr:col>
      <xdr:colOff>176659</xdr:colOff>
      <xdr:row>2</xdr:row>
      <xdr:rowOff>43188</xdr:rowOff>
    </xdr:from>
    <xdr:ext cx="966107" cy="279948"/>
    <xdr:sp macro="" textlink="">
      <xdr:nvSpPr>
        <xdr:cNvPr id="2" name="TextBox 1"/>
        <xdr:cNvSpPr txBox="1"/>
      </xdr:nvSpPr>
      <xdr:spPr>
        <a:xfrm>
          <a:off x="176659" y="392438"/>
          <a:ext cx="96610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lumMod val="75000"/>
                </a:schemeClr>
              </a:solidFill>
            </a:rPr>
            <a:t>🛒</a:t>
          </a:r>
          <a:r>
            <a:rPr lang="en-IN" sz="1100" b="1">
              <a:solidFill>
                <a:schemeClr val="tx1"/>
              </a:solidFill>
            </a:rPr>
            <a:t> </a:t>
          </a:r>
          <a:r>
            <a:rPr lang="en-IN" sz="1100" b="1">
              <a:solidFill>
                <a:schemeClr val="bg1"/>
              </a:solidFill>
            </a:rPr>
            <a:t>Orders</a:t>
          </a:r>
        </a:p>
      </xdr:txBody>
    </xdr:sp>
    <xdr:clientData/>
  </xdr:oneCellAnchor>
  <xdr:oneCellAnchor>
    <xdr:from>
      <xdr:col>0</xdr:col>
      <xdr:colOff>176659</xdr:colOff>
      <xdr:row>5</xdr:row>
      <xdr:rowOff>66941</xdr:rowOff>
    </xdr:from>
    <xdr:ext cx="1415143" cy="279948"/>
    <xdr:sp macro="" textlink="">
      <xdr:nvSpPr>
        <xdr:cNvPr id="10" name="TextBox 9"/>
        <xdr:cNvSpPr txBox="1"/>
      </xdr:nvSpPr>
      <xdr:spPr>
        <a:xfrm>
          <a:off x="176659" y="940066"/>
          <a:ext cx="1415143"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FF0000"/>
              </a:solidFill>
            </a:rPr>
            <a:t>👕</a:t>
          </a:r>
          <a:r>
            <a:rPr lang="en-IN" sz="1100" b="1"/>
            <a:t> </a:t>
          </a:r>
          <a:r>
            <a:rPr lang="en-IN" sz="1100" b="1">
              <a:solidFill>
                <a:schemeClr val="bg1"/>
              </a:solidFill>
            </a:rPr>
            <a:t>Quantity</a:t>
          </a:r>
        </a:p>
      </xdr:txBody>
    </xdr:sp>
    <xdr:clientData/>
  </xdr:oneCellAnchor>
  <xdr:oneCellAnchor>
    <xdr:from>
      <xdr:col>0</xdr:col>
      <xdr:colOff>176659</xdr:colOff>
      <xdr:row>8</xdr:row>
      <xdr:rowOff>134122</xdr:rowOff>
    </xdr:from>
    <xdr:ext cx="1102179" cy="279948"/>
    <xdr:sp macro="" textlink="">
      <xdr:nvSpPr>
        <xdr:cNvPr id="11" name="TextBox 10"/>
        <xdr:cNvSpPr txBox="1"/>
      </xdr:nvSpPr>
      <xdr:spPr>
        <a:xfrm>
          <a:off x="176659" y="1568475"/>
          <a:ext cx="110217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FFC000"/>
              </a:solidFill>
            </a:rPr>
            <a:t>💰 </a:t>
          </a:r>
          <a:r>
            <a:rPr lang="en-IN" sz="1100" b="1">
              <a:solidFill>
                <a:schemeClr val="bg1"/>
              </a:solidFill>
            </a:rPr>
            <a:t>Amount</a:t>
          </a:r>
        </a:p>
      </xdr:txBody>
    </xdr:sp>
    <xdr:clientData/>
  </xdr:oneCellAnchor>
  <xdr:oneCellAnchor>
    <xdr:from>
      <xdr:col>0</xdr:col>
      <xdr:colOff>176659</xdr:colOff>
      <xdr:row>12</xdr:row>
      <xdr:rowOff>91001</xdr:rowOff>
    </xdr:from>
    <xdr:ext cx="1619250" cy="279948"/>
    <xdr:sp macro="" textlink="">
      <xdr:nvSpPr>
        <xdr:cNvPr id="12" name="TextBox 11"/>
        <xdr:cNvSpPr txBox="1"/>
      </xdr:nvSpPr>
      <xdr:spPr>
        <a:xfrm>
          <a:off x="176659" y="2242530"/>
          <a:ext cx="16192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92D050"/>
              </a:solidFill>
            </a:rPr>
            <a:t>🚚 </a:t>
          </a:r>
          <a:r>
            <a:rPr lang="en-IN" sz="1100" b="1">
              <a:solidFill>
                <a:schemeClr val="bg1"/>
              </a:solidFill>
            </a:rPr>
            <a:t>Days To Deliver</a:t>
          </a:r>
        </a:p>
      </xdr:txBody>
    </xdr:sp>
    <xdr:clientData/>
  </xdr:oneCellAnchor>
  <xdr:oneCellAnchor>
    <xdr:from>
      <xdr:col>0</xdr:col>
      <xdr:colOff>176659</xdr:colOff>
      <xdr:row>16</xdr:row>
      <xdr:rowOff>7260</xdr:rowOff>
    </xdr:from>
    <xdr:ext cx="1109599" cy="279948"/>
    <xdr:sp macro="" textlink="">
      <xdr:nvSpPr>
        <xdr:cNvPr id="13" name="TextBox 12"/>
        <xdr:cNvSpPr txBox="1"/>
      </xdr:nvSpPr>
      <xdr:spPr>
        <a:xfrm>
          <a:off x="176659" y="2875966"/>
          <a:ext cx="110959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FF00"/>
              </a:solidFill>
            </a:rPr>
            <a:t>✨ </a:t>
          </a:r>
          <a:r>
            <a:rPr lang="en-IN" sz="1100" b="1">
              <a:solidFill>
                <a:schemeClr val="bg1"/>
              </a:solidFill>
            </a:rPr>
            <a:t>Avg Rating</a:t>
          </a:r>
        </a:p>
      </xdr:txBody>
    </xdr:sp>
    <xdr:clientData/>
  </xdr:oneCellAnchor>
  <xdr:twoCellAnchor>
    <xdr:from>
      <xdr:col>3</xdr:col>
      <xdr:colOff>386593</xdr:colOff>
      <xdr:row>2</xdr:row>
      <xdr:rowOff>0</xdr:rowOff>
    </xdr:from>
    <xdr:to>
      <xdr:col>11</xdr:col>
      <xdr:colOff>34636</xdr:colOff>
      <xdr:row>14</xdr:row>
      <xdr:rowOff>64579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467590</xdr:colOff>
      <xdr:row>2</xdr:row>
      <xdr:rowOff>31750</xdr:rowOff>
    </xdr:from>
    <xdr:to>
      <xdr:col>18</xdr:col>
      <xdr:colOff>640773</xdr:colOff>
      <xdr:row>14</xdr:row>
      <xdr:rowOff>86591</xdr:rowOff>
    </xdr:to>
    <xdr:sp macro="" textlink="">
      <xdr:nvSpPr>
        <xdr:cNvPr id="23" name="Rectangle 22"/>
        <xdr:cNvSpPr/>
      </xdr:nvSpPr>
      <xdr:spPr>
        <a:xfrm>
          <a:off x="8230465" y="381000"/>
          <a:ext cx="4951558" cy="2150341"/>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chemeClr val="tx1">
                  <a:lumMod val="65000"/>
                  <a:lumOff val="35000"/>
                </a:schemeClr>
              </a:solidFill>
              <a:latin typeface="+mn-lt"/>
              <a:ea typeface="+mn-ea"/>
              <a:cs typeface="+mn-cs"/>
            </a:rPr>
            <a:t>                                         How They Like To Buy?</a:t>
          </a:r>
        </a:p>
      </xdr:txBody>
    </xdr:sp>
    <xdr:clientData/>
  </xdr:twoCellAnchor>
  <mc:AlternateContent xmlns:mc="http://schemas.openxmlformats.org/markup-compatibility/2006">
    <mc:Choice xmlns:a14="http://schemas.microsoft.com/office/drawing/2010/main" Requires="a14">
      <xdr:twoCellAnchor editAs="oneCell">
        <xdr:from>
          <xdr:col>12</xdr:col>
          <xdr:colOff>381882</xdr:colOff>
          <xdr:row>3</xdr:row>
          <xdr:rowOff>157378</xdr:rowOff>
        </xdr:from>
        <xdr:to>
          <xdr:col>18</xdr:col>
          <xdr:colOff>172009</xdr:colOff>
          <xdr:row>13</xdr:row>
          <xdr:rowOff>125091</xdr:rowOff>
        </xdr:to>
        <xdr:pic>
          <xdr:nvPicPr>
            <xdr:cNvPr id="17" name="Picture 16"/>
            <xdr:cNvPicPr>
              <a:picLocks noChangeAspect="1" noChangeArrowheads="1"/>
              <a:extLst>
                <a:ext uri="{84589F7E-364E-4C9E-8A38-B11213B215E9}">
                  <a14:cameraTool cellRange="Sheet1!$H$5:$L$10" spid="_x0000_s1052"/>
                </a:ext>
              </a:extLst>
            </xdr:cNvPicPr>
          </xdr:nvPicPr>
          <xdr:blipFill>
            <a:blip xmlns:r="http://schemas.openxmlformats.org/officeDocument/2006/relationships" r:embed="rId2"/>
            <a:srcRect/>
            <a:stretch>
              <a:fillRect/>
            </a:stretch>
          </xdr:blipFill>
          <xdr:spPr bwMode="auto">
            <a:xfrm>
              <a:off x="8827382" y="681253"/>
              <a:ext cx="3885877" cy="171396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329044</xdr:colOff>
      <xdr:row>1</xdr:row>
      <xdr:rowOff>155863</xdr:rowOff>
    </xdr:from>
    <xdr:to>
      <xdr:col>25</xdr:col>
      <xdr:colOff>207152</xdr:colOff>
      <xdr:row>14</xdr:row>
      <xdr:rowOff>69273</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340409</xdr:colOff>
      <xdr:row>16</xdr:row>
      <xdr:rowOff>51955</xdr:rowOff>
    </xdr:from>
    <xdr:to>
      <xdr:col>11</xdr:col>
      <xdr:colOff>69272</xdr:colOff>
      <xdr:row>41</xdr:row>
      <xdr:rowOff>103908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353287</xdr:colOff>
      <xdr:row>31</xdr:row>
      <xdr:rowOff>174624</xdr:rowOff>
    </xdr:from>
    <xdr:to>
      <xdr:col>10</xdr:col>
      <xdr:colOff>444499</xdr:colOff>
      <xdr:row>40</xdr:row>
      <xdr:rowOff>79374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484909</xdr:colOff>
      <xdr:row>16</xdr:row>
      <xdr:rowOff>69273</xdr:rowOff>
    </xdr:from>
    <xdr:to>
      <xdr:col>18</xdr:col>
      <xdr:colOff>675410</xdr:colOff>
      <xdr:row>41</xdr:row>
      <xdr:rowOff>121226</xdr:rowOff>
    </xdr:to>
    <xdr:pic>
      <xdr:nvPicPr>
        <xdr:cNvPr id="15" name="Picture 14"/>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50000"/>
                  </a14:imgEffect>
                  <a14:imgEffect>
                    <a14:saturation sat="20000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8247784" y="2863273"/>
          <a:ext cx="4968876" cy="4417578"/>
        </a:xfrm>
        <a:prstGeom prst="rect">
          <a:avLst/>
        </a:prstGeom>
        <a:solidFill>
          <a:schemeClr val="bg1"/>
        </a:solidFill>
        <a:effectLst/>
      </xdr:spPr>
    </xdr:pic>
    <xdr:clientData/>
  </xdr:twoCellAnchor>
  <xdr:twoCellAnchor>
    <xdr:from>
      <xdr:col>11</xdr:col>
      <xdr:colOff>470820</xdr:colOff>
      <xdr:row>16</xdr:row>
      <xdr:rowOff>129151</xdr:rowOff>
    </xdr:from>
    <xdr:to>
      <xdr:col>17</xdr:col>
      <xdr:colOff>486965</xdr:colOff>
      <xdr:row>18</xdr:row>
      <xdr:rowOff>138544</xdr:rowOff>
    </xdr:to>
    <xdr:sp macro="" textlink="">
      <xdr:nvSpPr>
        <xdr:cNvPr id="16" name="Rectangle 15"/>
        <xdr:cNvSpPr/>
      </xdr:nvSpPr>
      <xdr:spPr>
        <a:xfrm>
          <a:off x="8233695" y="2923151"/>
          <a:ext cx="4111895" cy="358643"/>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chemeClr val="tx1">
                  <a:lumMod val="65000"/>
                  <a:lumOff val="35000"/>
                </a:schemeClr>
              </a:solidFill>
              <a:latin typeface="+mn-lt"/>
              <a:ea typeface="+mn-ea"/>
              <a:cs typeface="+mn-cs"/>
            </a:rPr>
            <a:t>                                Where do</a:t>
          </a:r>
          <a:r>
            <a:rPr lang="en-IN" sz="1200" b="1" baseline="0">
              <a:solidFill>
                <a:schemeClr val="tx1">
                  <a:lumMod val="65000"/>
                  <a:lumOff val="35000"/>
                </a:schemeClr>
              </a:solidFill>
              <a:latin typeface="+mn-lt"/>
              <a:ea typeface="+mn-ea"/>
              <a:cs typeface="+mn-cs"/>
            </a:rPr>
            <a:t> our customer live?</a:t>
          </a:r>
          <a:endParaRPr lang="en-IN" sz="1200" b="1">
            <a:solidFill>
              <a:schemeClr val="tx1">
                <a:lumMod val="65000"/>
                <a:lumOff val="35000"/>
              </a:schemeClr>
            </a:solidFill>
            <a:latin typeface="+mn-lt"/>
            <a:ea typeface="+mn-ea"/>
            <a:cs typeface="+mn-cs"/>
          </a:endParaRPr>
        </a:p>
      </xdr:txBody>
    </xdr:sp>
    <xdr:clientData/>
  </xdr:twoCellAnchor>
  <xdr:twoCellAnchor>
    <xdr:from>
      <xdr:col>13</xdr:col>
      <xdr:colOff>572944</xdr:colOff>
      <xdr:row>18</xdr:row>
      <xdr:rowOff>85147</xdr:rowOff>
    </xdr:from>
    <xdr:to>
      <xdr:col>14</xdr:col>
      <xdr:colOff>451717</xdr:colOff>
      <xdr:row>20</xdr:row>
      <xdr:rowOff>15875</xdr:rowOff>
    </xdr:to>
    <xdr:sp macro="" textlink="">
      <xdr:nvSpPr>
        <xdr:cNvPr id="18" name="Rectangle 17"/>
        <xdr:cNvSpPr/>
      </xdr:nvSpPr>
      <xdr:spPr>
        <a:xfrm>
          <a:off x="9701069" y="3228397"/>
          <a:ext cx="561398" cy="279978"/>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tx1">
                  <a:lumMod val="65000"/>
                  <a:lumOff val="35000"/>
                </a:schemeClr>
              </a:solidFill>
              <a:latin typeface="+mn-lt"/>
              <a:ea typeface="+mn-ea"/>
              <a:cs typeface="+mn-cs"/>
            </a:rPr>
            <a:t>    Qty</a:t>
          </a:r>
        </a:p>
      </xdr:txBody>
    </xdr:sp>
    <xdr:clientData/>
  </xdr:twoCellAnchor>
  <xdr:twoCellAnchor>
    <xdr:from>
      <xdr:col>14</xdr:col>
      <xdr:colOff>209261</xdr:colOff>
      <xdr:row>19</xdr:row>
      <xdr:rowOff>105351</xdr:rowOff>
    </xdr:from>
    <xdr:to>
      <xdr:col>16</xdr:col>
      <xdr:colOff>88033</xdr:colOff>
      <xdr:row>20</xdr:row>
      <xdr:rowOff>105352</xdr:rowOff>
    </xdr:to>
    <xdr:sp macro="" textlink="">
      <xdr:nvSpPr>
        <xdr:cNvPr id="20" name="Rectangle 19"/>
        <xdr:cNvSpPr/>
      </xdr:nvSpPr>
      <xdr:spPr>
        <a:xfrm>
          <a:off x="10020011" y="3423226"/>
          <a:ext cx="1244022" cy="174626"/>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oneCellAnchor>
    <xdr:from>
      <xdr:col>14</xdr:col>
      <xdr:colOff>421409</xdr:colOff>
      <xdr:row>19</xdr:row>
      <xdr:rowOff>105351</xdr:rowOff>
    </xdr:from>
    <xdr:ext cx="952500" cy="259773"/>
    <xdr:sp macro="" textlink="">
      <xdr:nvSpPr>
        <xdr:cNvPr id="21" name="TextBox 20"/>
        <xdr:cNvSpPr txBox="1"/>
      </xdr:nvSpPr>
      <xdr:spPr>
        <a:xfrm>
          <a:off x="10232159" y="3423226"/>
          <a:ext cx="952500" cy="259773"/>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tx1">
                  <a:lumMod val="65000"/>
                  <a:lumOff val="35000"/>
                </a:schemeClr>
              </a:solidFill>
            </a:rPr>
            <a:t>1</a:t>
          </a:r>
          <a:r>
            <a:rPr lang="en-IN" sz="1100"/>
            <a:t>        </a:t>
          </a:r>
          <a:r>
            <a:rPr lang="en-IN" sz="1100">
              <a:solidFill>
                <a:schemeClr val="tx1">
                  <a:lumMod val="65000"/>
                  <a:lumOff val="35000"/>
                </a:schemeClr>
              </a:solidFill>
            </a:rPr>
            <a:t>   3991</a:t>
          </a:r>
        </a:p>
      </xdr:txBody>
    </xdr:sp>
    <xdr:clientData/>
  </xdr:oneCellAnchor>
  <xdr:twoCellAnchor>
    <xdr:from>
      <xdr:col>19</xdr:col>
      <xdr:colOff>329045</xdr:colOff>
      <xdr:row>16</xdr:row>
      <xdr:rowOff>51952</xdr:rowOff>
    </xdr:from>
    <xdr:to>
      <xdr:col>25</xdr:col>
      <xdr:colOff>225138</xdr:colOff>
      <xdr:row>28</xdr:row>
      <xdr:rowOff>86591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333742</xdr:colOff>
      <xdr:row>29</xdr:row>
      <xdr:rowOff>121226</xdr:rowOff>
    </xdr:from>
    <xdr:to>
      <xdr:col>25</xdr:col>
      <xdr:colOff>277091</xdr:colOff>
      <xdr:row>41</xdr:row>
      <xdr:rowOff>103909</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174625</xdr:colOff>
      <xdr:row>20</xdr:row>
      <xdr:rowOff>111125</xdr:rowOff>
    </xdr:from>
    <xdr:to>
      <xdr:col>2</xdr:col>
      <xdr:colOff>3175</xdr:colOff>
      <xdr:row>31</xdr:row>
      <xdr:rowOff>63500</xdr:rowOff>
    </xdr:to>
    <mc:AlternateContent xmlns:mc="http://schemas.openxmlformats.org/markup-compatibility/2006" xmlns:a14="http://schemas.microsoft.com/office/drawing/2010/main">
      <mc:Choice Requires="a14">
        <xdr:graphicFrame macro="">
          <xdr:nvGraphicFramePr>
            <xdr:cNvPr id="28"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74625" y="3603625"/>
              <a:ext cx="1828800" cy="187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32</xdr:row>
      <xdr:rowOff>95250</xdr:rowOff>
    </xdr:from>
    <xdr:to>
      <xdr:col>1</xdr:col>
      <xdr:colOff>1638300</xdr:colOff>
      <xdr:row>41</xdr:row>
      <xdr:rowOff>111124</xdr:rowOff>
    </xdr:to>
    <mc:AlternateContent xmlns:mc="http://schemas.openxmlformats.org/markup-compatibility/2006" xmlns:a14="http://schemas.microsoft.com/office/drawing/2010/main">
      <mc:Choice Requires="a14">
        <xdr:graphicFrame macro="">
          <xdr:nvGraphicFramePr>
            <xdr:cNvPr id="29"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58750" y="5683250"/>
              <a:ext cx="1828800"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0.09041</cdr:x>
      <cdr:y>0.04933</cdr:y>
    </cdr:from>
    <cdr:to>
      <cdr:x>0.2666</cdr:x>
      <cdr:y>0.25632</cdr:y>
    </cdr:to>
    <cdr:sp macro="" textlink="">
      <cdr:nvSpPr>
        <cdr:cNvPr id="2" name="TextBox 1"/>
        <cdr:cNvSpPr txBox="1"/>
      </cdr:nvSpPr>
      <cdr:spPr>
        <a:xfrm xmlns:a="http://schemas.openxmlformats.org/drawingml/2006/main">
          <a:off x="469216" y="2179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cdr:x>
      <cdr:y>0.02058</cdr:y>
    </cdr:from>
    <cdr:to>
      <cdr:x>0.87653</cdr:x>
      <cdr:y>0.08167</cdr:y>
    </cdr:to>
    <cdr:sp macro="" textlink="">
      <cdr:nvSpPr>
        <cdr:cNvPr id="3" name="TextBox 2"/>
        <cdr:cNvSpPr txBox="1"/>
      </cdr:nvSpPr>
      <cdr:spPr>
        <a:xfrm xmlns:a="http://schemas.openxmlformats.org/drawingml/2006/main">
          <a:off x="0" y="90920"/>
          <a:ext cx="4549091" cy="2698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a:t>Which Products are</a:t>
          </a:r>
          <a:r>
            <a:rPr lang="en-IN" sz="1100" b="1" baseline="0"/>
            <a:t> Popular? </a:t>
          </a:r>
          <a:r>
            <a:rPr lang="en-IN" sz="1100" b="1" baseline="0">
              <a:solidFill>
                <a:schemeClr val="tx1">
                  <a:lumMod val="65000"/>
                  <a:lumOff val="35000"/>
                </a:schemeClr>
              </a:solidFill>
            </a:rPr>
            <a:t>Breakdown by Gender</a:t>
          </a:r>
          <a:endParaRPr lang="en-IN" sz="1100" b="1">
            <a:solidFill>
              <a:schemeClr val="tx1">
                <a:lumMod val="65000"/>
                <a:lumOff val="3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9.834003935182" createdVersion="6" refreshedVersion="6" minRefreshableVersion="3" recordCount="2400">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Sum of Quantity" fld="2" baseField="0" baseItem="0"/>
    <dataField name="Average of Days to Deliver" fld="12" subtotal="average" baseField="0" baseItem="2"/>
    <dataField name="Average of Rating C" fld="9"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sell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
  <location ref="A8:C22"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4">
    <format dxfId="3">
      <pivotArea collapsedLevelsAreSubtotals="1" fieldPosition="0">
        <references count="2">
          <reference field="4294967294" count="1" selected="0">
            <x v="1"/>
          </reference>
          <reference field="13" count="3">
            <x v="0"/>
            <x v="1"/>
            <x v="2"/>
          </reference>
        </references>
      </pivotArea>
    </format>
    <format dxfId="2">
      <pivotArea dataOnly="0" labelOnly="1" outline="0" fieldPosition="0">
        <references count="1">
          <reference field="4294967294" count="1">
            <x v="1"/>
          </reference>
        </references>
      </pivotArea>
    </format>
    <format dxfId="1">
      <pivotArea collapsedLevelsAreSubtotals="1" fieldPosition="0">
        <references count="2">
          <reference field="4294967294" count="1" selected="0">
            <x v="1"/>
          </reference>
          <reference field="13" count="10">
            <x v="3"/>
            <x v="4"/>
            <x v="5"/>
            <x v="6"/>
            <x v="7"/>
            <x v="8"/>
            <x v="9"/>
            <x v="10"/>
            <x v="11"/>
            <x v="12"/>
          </reference>
        </references>
      </pivotArea>
    </format>
    <format dxfId="0">
      <pivotArea field="13" grandRow="1" outline="0" collapsedLevelsAreSubtotals="1" axis="axisRow" fieldPosition="0">
        <references count="1">
          <reference field="4294967294" count="1" selected="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c">
  <location ref="D42:E101" firstHeaderRow="1"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items count="2">
        <item x="0"/>
        <item t="default"/>
      </items>
    </pivotField>
    <pivotField axis="axisRow"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1"/>
  </rowFields>
  <rowItems count="59">
    <i>
      <x v="18"/>
    </i>
    <i>
      <x v="36"/>
    </i>
    <i>
      <x v="42"/>
    </i>
    <i>
      <x v="33"/>
    </i>
    <i>
      <x/>
    </i>
    <i>
      <x v="40"/>
    </i>
    <i>
      <x v="35"/>
    </i>
    <i>
      <x v="6"/>
    </i>
    <i>
      <x v="37"/>
    </i>
    <i>
      <x v="48"/>
    </i>
    <i>
      <x v="9"/>
    </i>
    <i>
      <x v="14"/>
    </i>
    <i>
      <x v="49"/>
    </i>
    <i>
      <x v="55"/>
    </i>
    <i>
      <x v="32"/>
    </i>
    <i>
      <x v="29"/>
    </i>
    <i>
      <x v="30"/>
    </i>
    <i>
      <x v="38"/>
    </i>
    <i>
      <x v="41"/>
    </i>
    <i>
      <x v="53"/>
    </i>
    <i>
      <x v="27"/>
    </i>
    <i>
      <x v="23"/>
    </i>
    <i>
      <x v="12"/>
    </i>
    <i>
      <x v="44"/>
    </i>
    <i>
      <x v="47"/>
    </i>
    <i>
      <x v="11"/>
    </i>
    <i>
      <x v="19"/>
    </i>
    <i>
      <x v="43"/>
    </i>
    <i>
      <x v="20"/>
    </i>
    <i>
      <x v="15"/>
    </i>
    <i>
      <x v="3"/>
    </i>
    <i>
      <x v="8"/>
    </i>
    <i>
      <x v="26"/>
    </i>
    <i>
      <x v="16"/>
    </i>
    <i>
      <x v="54"/>
    </i>
    <i>
      <x v="28"/>
    </i>
    <i>
      <x v="34"/>
    </i>
    <i>
      <x v="50"/>
    </i>
    <i>
      <x v="56"/>
    </i>
    <i>
      <x v="39"/>
    </i>
    <i>
      <x v="7"/>
    </i>
    <i>
      <x v="4"/>
    </i>
    <i>
      <x v="22"/>
    </i>
    <i>
      <x v="2"/>
    </i>
    <i>
      <x v="10"/>
    </i>
    <i>
      <x v="13"/>
    </i>
    <i>
      <x v="46"/>
    </i>
    <i>
      <x v="21"/>
    </i>
    <i>
      <x v="51"/>
    </i>
    <i>
      <x v="31"/>
    </i>
    <i>
      <x v="52"/>
    </i>
    <i>
      <x v="25"/>
    </i>
    <i>
      <x v="5"/>
    </i>
    <i>
      <x v="57"/>
    </i>
    <i>
      <x v="24"/>
    </i>
    <i>
      <x v="45"/>
    </i>
    <i>
      <x v="17"/>
    </i>
    <i>
      <x v="1"/>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c">
  <location ref="D28:J33"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1">
    <chartFormat chart="5"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16" count="1" selected="0">
            <x v="1"/>
          </reference>
        </references>
      </pivotArea>
    </chartFormat>
    <chartFormat chart="11" format="4" series="1">
      <pivotArea type="data" outline="0" fieldPosition="0">
        <references count="2">
          <reference field="4294967294" count="1" selected="0">
            <x v="0"/>
          </reference>
          <reference field="16" count="1" selected="0">
            <x v="2"/>
          </reference>
        </references>
      </pivotArea>
    </chartFormat>
    <chartFormat chart="11" format="5" series="1">
      <pivotArea type="data" outline="0" fieldPosition="0">
        <references count="2">
          <reference field="4294967294" count="1" selected="0">
            <x v="0"/>
          </reference>
          <reference field="16" count="1" selected="0">
            <x v="3"/>
          </reference>
        </references>
      </pivotArea>
    </chartFormat>
    <chartFormat chart="11" format="6"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Dilve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
  <location ref="A26:B42"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I32:J37" firstHeaderRow="1"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defaultSubtotal="0">
      <items count="7">
        <item x="0"/>
        <item x="1"/>
        <item x="2"/>
        <item x="4"/>
        <item x="3"/>
        <item n="6 To 10" x="5"/>
        <item n="More Than 10" x="6"/>
      </items>
    </pivotField>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um of Quantity" fld="2" baseField="0" baseItem="0"/>
  </dataFields>
  <chartFormats count="24">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5" format="4" series="1">
      <pivotArea type="data" outline="0" fieldPosition="0">
        <references count="2">
          <reference field="4294967294" count="1" selected="0">
            <x v="0"/>
          </reference>
          <reference field="14" count="1" selected="0">
            <x v="0"/>
          </reference>
        </references>
      </pivotArea>
    </chartFormat>
    <chartFormat chart="15" format="5" series="1">
      <pivotArea type="data" outline="0" fieldPosition="0">
        <references count="2">
          <reference field="4294967294" count="1" selected="0">
            <x v="0"/>
          </reference>
          <reference field="14" count="1" selected="0">
            <x v="1"/>
          </reference>
        </references>
      </pivotArea>
    </chartFormat>
    <chartFormat chart="15" format="6" series="1">
      <pivotArea type="data" outline="0" fieldPosition="0">
        <references count="2">
          <reference field="4294967294" count="1" selected="0">
            <x v="0"/>
          </reference>
          <reference field="14" count="1" selected="0">
            <x v="2"/>
          </reference>
        </references>
      </pivotArea>
    </chartFormat>
    <chartFormat chart="15" format="7" series="1">
      <pivotArea type="data" outline="0" fieldPosition="0">
        <references count="2">
          <reference field="4294967294" count="1" selected="0">
            <x v="0"/>
          </reference>
          <reference field="14" count="1" selected="0">
            <x v="3"/>
          </reference>
        </references>
      </pivotArea>
    </chartFormat>
    <chartFormat chart="17" format="12" series="1">
      <pivotArea type="data" outline="0" fieldPosition="0">
        <references count="2">
          <reference field="4294967294" count="1" selected="0">
            <x v="0"/>
          </reference>
          <reference field="14" count="1" selected="0">
            <x v="1"/>
          </reference>
        </references>
      </pivotArea>
    </chartFormat>
    <chartFormat chart="17" format="13" series="1">
      <pivotArea type="data" outline="0" fieldPosition="0">
        <references count="2">
          <reference field="4294967294" count="1" selected="0">
            <x v="0"/>
          </reference>
          <reference field="14" count="1" selected="0">
            <x v="0"/>
          </reference>
        </references>
      </pivotArea>
    </chartFormat>
    <chartFormat chart="17" format="14" series="1">
      <pivotArea type="data" outline="0" fieldPosition="0">
        <references count="2">
          <reference field="4294967294" count="1" selected="0">
            <x v="0"/>
          </reference>
          <reference field="14" count="1" selected="0">
            <x v="2"/>
          </reference>
        </references>
      </pivotArea>
    </chartFormat>
    <chartFormat chart="17" format="15" series="1">
      <pivotArea type="data" outline="0" fieldPosition="0">
        <references count="2">
          <reference field="4294967294" count="1" selected="0">
            <x v="0"/>
          </reference>
          <reference field="14" count="1" selected="0">
            <x v="3"/>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4" count="1" selected="0">
            <x v="0"/>
          </reference>
        </references>
      </pivotArea>
    </chartFormat>
    <chartFormat chart="22" format="3">
      <pivotArea type="data" outline="0" fieldPosition="0">
        <references count="2">
          <reference field="4294967294" count="1" selected="0">
            <x v="0"/>
          </reference>
          <reference field="14" count="1" selected="0">
            <x v="1"/>
          </reference>
        </references>
      </pivotArea>
    </chartFormat>
    <chartFormat chart="22" format="4">
      <pivotArea type="data" outline="0" fieldPosition="0">
        <references count="2">
          <reference field="4294967294" count="1" selected="0">
            <x v="0"/>
          </reference>
          <reference field="14" count="1" selected="0">
            <x v="2"/>
          </reference>
        </references>
      </pivotArea>
    </chartFormat>
    <chartFormat chart="22" format="5">
      <pivotArea type="data" outline="0" fieldPosition="0">
        <references count="2">
          <reference field="4294967294" count="1" selected="0">
            <x v="0"/>
          </reference>
          <reference field="14" count="1" selected="0">
            <x v="3"/>
          </reference>
        </references>
      </pivotArea>
    </chartFormat>
    <chartFormat chart="23" format="26">
      <pivotArea type="data" outline="0" fieldPosition="0">
        <references count="2">
          <reference field="4294967294" count="1" selected="0">
            <x v="0"/>
          </reference>
          <reference field="14" count="1" selected="0">
            <x v="1"/>
          </reference>
        </references>
      </pivotArea>
    </chartFormat>
    <chartFormat chart="23" format="27">
      <pivotArea type="data" outline="0" fieldPosition="0">
        <references count="2">
          <reference field="4294967294" count="1" selected="0">
            <x v="0"/>
          </reference>
          <reference field="14" count="1" selected="0">
            <x v="0"/>
          </reference>
        </references>
      </pivotArea>
    </chartFormat>
    <chartFormat chart="23" format="28">
      <pivotArea type="data" outline="0" fieldPosition="0">
        <references count="2">
          <reference field="4294967294" count="1" selected="0">
            <x v="0"/>
          </reference>
          <reference field="14" count="1" selected="0">
            <x v="3"/>
          </reference>
        </references>
      </pivotArea>
    </chartFormat>
    <chartFormat chart="23" format="29">
      <pivotArea type="data" outline="0" fieldPosition="0">
        <references count="2">
          <reference field="4294967294" count="1" selected="0">
            <x v="0"/>
          </reference>
          <reference field="14" count="1" selected="0">
            <x v="2"/>
          </reference>
        </references>
      </pivotArea>
    </chartFormat>
    <chartFormat chart="23"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27:F49" firstHeaderRow="1" firstDataRow="2"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defaultSubtotal="0">
      <items count="7">
        <item x="0"/>
        <item x="1"/>
        <item x="2"/>
        <item x="4"/>
        <item x="3"/>
        <item n="6 To 10" x="5"/>
        <item n="More Than 10" x="6"/>
      </items>
    </pivotField>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4"/>
  </colFields>
  <colItems count="5">
    <i>
      <x/>
    </i>
    <i>
      <x v="1"/>
    </i>
    <i>
      <x v="2"/>
    </i>
    <i>
      <x v="3"/>
    </i>
    <i t="grand">
      <x/>
    </i>
  </colItems>
  <dataFields count="1">
    <dataField name="Sum of Quantity" fld="2" baseField="0" baseItem="0"/>
  </dataFields>
  <chartFormats count="13">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5" format="4" series="1">
      <pivotArea type="data" outline="0" fieldPosition="0">
        <references count="2">
          <reference field="4294967294" count="1" selected="0">
            <x v="0"/>
          </reference>
          <reference field="14" count="1" selected="0">
            <x v="0"/>
          </reference>
        </references>
      </pivotArea>
    </chartFormat>
    <chartFormat chart="15" format="5" series="1">
      <pivotArea type="data" outline="0" fieldPosition="0">
        <references count="2">
          <reference field="4294967294" count="1" selected="0">
            <x v="0"/>
          </reference>
          <reference field="14" count="1" selected="0">
            <x v="1"/>
          </reference>
        </references>
      </pivotArea>
    </chartFormat>
    <chartFormat chart="15" format="6" series="1">
      <pivotArea type="data" outline="0" fieldPosition="0">
        <references count="2">
          <reference field="4294967294" count="1" selected="0">
            <x v="0"/>
          </reference>
          <reference field="14" count="1" selected="0">
            <x v="2"/>
          </reference>
        </references>
      </pivotArea>
    </chartFormat>
    <chartFormat chart="15" format="7" series="1">
      <pivotArea type="data" outline="0" fieldPosition="0">
        <references count="2">
          <reference field="4294967294" count="1" selected="0">
            <x v="0"/>
          </reference>
          <reference field="14" count="1" selected="0">
            <x v="3"/>
          </reference>
        </references>
      </pivotArea>
    </chartFormat>
    <chartFormat chart="17" format="20" series="1">
      <pivotArea type="data" outline="0" fieldPosition="0">
        <references count="2">
          <reference field="4294967294" count="1" selected="0">
            <x v="0"/>
          </reference>
          <reference field="14" count="1" selected="0">
            <x v="0"/>
          </reference>
        </references>
      </pivotArea>
    </chartFormat>
    <chartFormat chart="17" format="21" series="1">
      <pivotArea type="data" outline="0" fieldPosition="0">
        <references count="2">
          <reference field="4294967294" count="1" selected="0">
            <x v="0"/>
          </reference>
          <reference field="14" count="1" selected="0">
            <x v="1"/>
          </reference>
        </references>
      </pivotArea>
    </chartFormat>
    <chartFormat chart="17" format="22" series="1">
      <pivotArea type="data" outline="0" fieldPosition="0">
        <references count="2">
          <reference field="4294967294" count="1" selected="0">
            <x v="0"/>
          </reference>
          <reference field="14" count="1" selected="0">
            <x v="2"/>
          </reference>
        </references>
      </pivotArea>
    </chartFormat>
    <chartFormat chart="17" format="2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OrdersCou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B24"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defaultSubtotal="0">
      <items count="7">
        <item x="0"/>
        <item x="1"/>
        <item x="2"/>
        <item x="4"/>
        <item x="3"/>
        <item n="6 To 10" x="5"/>
        <item n="More Than 10" x="6"/>
      </items>
    </pivotField>
    <pivotField showAll="0" defaultSubtotal="0">
      <items count="14">
        <item x="0"/>
        <item x="1"/>
        <item x="2"/>
        <item x="3"/>
        <item x="4"/>
        <item x="5"/>
        <item x="6"/>
        <item x="7"/>
        <item x="8"/>
        <item x="9"/>
        <item x="10"/>
        <item x="11"/>
        <item x="12"/>
        <item x="13"/>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5" name="PivotRating"/>
    <pivotTable tabId="5" name="PivotDilvery"/>
    <pivotTable tabId="5" name="PivotKpi"/>
    <pivotTable tabId="5" name="Pivotsells"/>
    <pivotTable tabId="8" name="PivotGender"/>
    <pivotTable tabId="8" name="PivotOrdersCount"/>
    <pivotTable tabId="8" name="PivotProduct"/>
    <pivotTable tabId="5" name="PivotTable1"/>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5" name="PivotRating"/>
    <pivotTable tabId="5" name="PivotDilvery"/>
    <pivotTable tabId="5" name="PivotKpi"/>
    <pivotTable tabId="5" name="Pivotsells"/>
    <pivotTable tabId="8" name="PivotOrdersCount"/>
    <pivotTable tabId="5" name="PivotTable1"/>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style="SlicerStyleOther2" rowHeight="241300"/>
  <slicer name="Gender Value" cache="Slicer_Gender_Value" caption="Gender Value" style="SlicerStyleOther2" rowHeight="241300"/>
</slicers>
</file>

<file path=xl/tables/table1.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8"/>
    <tableColumn id="7" name="Ship Date" dataDxfId="7"/>
    <tableColumn id="8" name="Customer Gender"/>
    <tableColumn id="9" name="Order Mode"/>
    <tableColumn id="10" name="Rating C"/>
    <tableColumn id="15" name="State"/>
    <tableColumn id="14" name="County"/>
    <tableColumn id="11" name="Days to Deliver" dataDxfId="6">
      <calculatedColumnFormula>orders[[#This Row],[Ship Date]]-orders[[#This Row],[Order Date]]</calculatedColumnFormula>
    </tableColumn>
    <tableColumn id="12" name="Weeknum" dataDxfId="5">
      <calculatedColumnFormula>WEEKNUM(orders[[#This Row],[Order Date]])</calculatedColumnFormula>
    </tableColumn>
    <tableColumn id="13"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lumMod val="40000"/>
            <a:lumOff val="60000"/>
          </a:schemeClr>
        </a:solidFill>
        <a:effectLst>
          <a:outerShdw blurRad="50800" dist="38100" dir="2700000" algn="tl" rotWithShape="0">
            <a:prstClr val="black">
              <a:alpha val="40000"/>
            </a:prstClr>
          </a:outerShdw>
        </a:effectLst>
      </a:spPr>
      <a:bodyPr vertOverflow="clip" horzOverflow="clip" rtlCol="0" anchor="t"/>
      <a:lstStyle>
        <a:defPPr marL="0" indent="0" algn="l">
          <a:defRPr sz="1100">
            <a:solidFill>
              <a:schemeClr val="lt1"/>
            </a:solidFill>
            <a:latin typeface="+mn-lt"/>
            <a:ea typeface="+mn-ea"/>
            <a:cs typeface="+mn-cs"/>
          </a:defRPr>
        </a:defPPr>
      </a:lstStyle>
      <a:style>
        <a:lnRef idx="2">
          <a:schemeClr val="accent1">
            <a:shade val="5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3.bin"/><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19:AD47"/>
  <sheetViews>
    <sheetView tabSelected="1" zoomScale="60" zoomScaleNormal="60" workbookViewId="0">
      <selection activeCell="AC30" sqref="AC30"/>
    </sheetView>
  </sheetViews>
  <sheetFormatPr defaultRowHeight="14.25"/>
  <cols>
    <col min="1" max="1" width="4.5" customWidth="1"/>
    <col min="2" max="2" width="21.75" customWidth="1"/>
    <col min="3" max="3" width="4" customWidth="1"/>
  </cols>
  <sheetData>
    <row r="19" spans="30:30">
      <c r="AD19" t="s">
        <v>2539</v>
      </c>
    </row>
    <row r="45" spans="4:4" ht="15" thickBot="1"/>
    <row r="46" spans="4:4" ht="15.75" thickTop="1" thickBot="1">
      <c r="D46" s="11"/>
    </row>
    <row r="47" spans="4:4" ht="15" thickTop="1"/>
  </sheetData>
  <pageMargins left="0.7" right="0.7" top="0.75" bottom="0.75" header="0.3" footer="0.3"/>
  <pageSetup paperSize="9"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zoomScaleNormal="100" workbookViewId="0"/>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8.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B20" sqref="B20"/>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01"/>
  <sheetViews>
    <sheetView zoomScale="85" zoomScaleNormal="85" workbookViewId="0">
      <selection activeCell="K42" sqref="K42"/>
    </sheetView>
  </sheetViews>
  <sheetFormatPr defaultRowHeight="14.25"/>
  <cols>
    <col min="1" max="1" width="11.375" customWidth="1"/>
    <col min="2" max="2" width="15" customWidth="1"/>
    <col min="3" max="3" width="14.25" customWidth="1"/>
    <col min="4" max="4" width="20.875" customWidth="1"/>
    <col min="5" max="5" width="15" customWidth="1"/>
    <col min="6" max="7" width="4.125" customWidth="1"/>
    <col min="8" max="8" width="5.125" customWidth="1"/>
    <col min="9" max="9" width="4.125" customWidth="1"/>
    <col min="10" max="10" width="17.375" bestFit="1" customWidth="1"/>
    <col min="11" max="11" width="10.125" bestFit="1" customWidth="1"/>
    <col min="12" max="35" width="6.75" customWidth="1"/>
    <col min="36" max="92" width="6.875" customWidth="1"/>
    <col min="93" max="93" width="11.375" bestFit="1" customWidth="1"/>
  </cols>
  <sheetData>
    <row r="3" spans="1:11">
      <c r="A3" t="s">
        <v>2519</v>
      </c>
      <c r="B3" t="s">
        <v>2521</v>
      </c>
      <c r="C3" t="s">
        <v>2520</v>
      </c>
      <c r="D3" t="s">
        <v>2522</v>
      </c>
      <c r="E3" t="s">
        <v>2523</v>
      </c>
      <c r="G3" t="s">
        <v>2518</v>
      </c>
      <c r="H3" t="s">
        <v>4</v>
      </c>
      <c r="I3" t="s">
        <v>2524</v>
      </c>
      <c r="J3" t="s">
        <v>2525</v>
      </c>
      <c r="K3" t="s">
        <v>2507</v>
      </c>
    </row>
    <row r="4" spans="1:11">
      <c r="A4" s="5">
        <v>2400</v>
      </c>
      <c r="B4" s="5">
        <v>649019.80000000144</v>
      </c>
      <c r="C4" s="5">
        <v>11997</v>
      </c>
      <c r="D4" s="5">
        <v>2.3424999999999998</v>
      </c>
      <c r="E4" s="5">
        <v>3.9620833333333332</v>
      </c>
      <c r="G4" t="str">
        <f>TEXT(A4,"#,##")</f>
        <v>2,400</v>
      </c>
      <c r="H4" t="str">
        <f>TEXT(B4,"$#,##,.0k")</f>
        <v>$649.0k</v>
      </c>
      <c r="I4" t="str">
        <f t="shared" ref="I4" si="0">TEXT(C4,"#,##")</f>
        <v>11,997</v>
      </c>
      <c r="J4" t="str">
        <f>TEXT(D4,"0.0")</f>
        <v>2.3</v>
      </c>
      <c r="K4" t="str">
        <f>TEXT(E4,"0.0")</f>
        <v>4.0</v>
      </c>
    </row>
    <row r="5" spans="1:11">
      <c r="A5" s="5"/>
    </row>
    <row r="8" spans="1:11">
      <c r="A8" s="6" t="s">
        <v>2535</v>
      </c>
      <c r="B8" t="s">
        <v>2520</v>
      </c>
      <c r="C8" s="8" t="s">
        <v>2521</v>
      </c>
    </row>
    <row r="9" spans="1:11">
      <c r="A9" s="7">
        <v>1</v>
      </c>
      <c r="B9" s="5">
        <v>546</v>
      </c>
      <c r="C9" s="8">
        <v>32413.300000000003</v>
      </c>
    </row>
    <row r="10" spans="1:11">
      <c r="A10" s="7">
        <v>2</v>
      </c>
      <c r="B10" s="5">
        <v>905</v>
      </c>
      <c r="C10" s="8">
        <v>49562.999999999993</v>
      </c>
    </row>
    <row r="11" spans="1:11">
      <c r="A11" s="7">
        <v>3</v>
      </c>
      <c r="B11" s="5">
        <v>796</v>
      </c>
      <c r="C11" s="8">
        <v>41700.400000000016</v>
      </c>
    </row>
    <row r="12" spans="1:11">
      <c r="A12" s="7">
        <v>4</v>
      </c>
      <c r="B12" s="5">
        <v>913</v>
      </c>
      <c r="C12" s="8">
        <v>46782.599999999984</v>
      </c>
    </row>
    <row r="13" spans="1:11">
      <c r="A13" s="7">
        <v>5</v>
      </c>
      <c r="B13" s="5">
        <v>844</v>
      </c>
      <c r="C13" s="8">
        <v>42676.100000000006</v>
      </c>
    </row>
    <row r="14" spans="1:11">
      <c r="A14" s="7">
        <v>6</v>
      </c>
      <c r="B14" s="5">
        <v>1202</v>
      </c>
      <c r="C14" s="8">
        <v>62910.7</v>
      </c>
    </row>
    <row r="15" spans="1:11">
      <c r="A15" s="7">
        <v>7</v>
      </c>
      <c r="B15" s="5">
        <v>935</v>
      </c>
      <c r="C15" s="8">
        <v>50332.200000000004</v>
      </c>
    </row>
    <row r="16" spans="1:11">
      <c r="A16" s="7">
        <v>8</v>
      </c>
      <c r="B16" s="5">
        <v>1128</v>
      </c>
      <c r="C16" s="8">
        <v>58760.599999999977</v>
      </c>
    </row>
    <row r="17" spans="1:10">
      <c r="A17" s="7">
        <v>9</v>
      </c>
      <c r="B17" s="5">
        <v>1007</v>
      </c>
      <c r="C17" s="8">
        <v>52017.299999999996</v>
      </c>
    </row>
    <row r="18" spans="1:10">
      <c r="A18" s="7">
        <v>10</v>
      </c>
      <c r="B18" s="5">
        <v>1128</v>
      </c>
      <c r="C18" s="8">
        <v>64915.700000000033</v>
      </c>
    </row>
    <row r="19" spans="1:10">
      <c r="A19" s="7">
        <v>11</v>
      </c>
      <c r="B19" s="5">
        <v>861</v>
      </c>
      <c r="C19" s="8">
        <v>45943.80000000001</v>
      </c>
    </row>
    <row r="20" spans="1:10">
      <c r="A20" s="7">
        <v>12</v>
      </c>
      <c r="B20" s="5">
        <v>944</v>
      </c>
      <c r="C20" s="8">
        <v>55077.900000000031</v>
      </c>
    </row>
    <row r="21" spans="1:10">
      <c r="A21" s="7">
        <v>13</v>
      </c>
      <c r="B21" s="5">
        <v>788</v>
      </c>
      <c r="C21" s="8">
        <v>45926.19999999999</v>
      </c>
    </row>
    <row r="22" spans="1:10">
      <c r="A22" s="7" t="s">
        <v>2527</v>
      </c>
      <c r="B22" s="5">
        <v>11997</v>
      </c>
      <c r="C22" s="8">
        <v>649019.79999999993</v>
      </c>
    </row>
    <row r="25" spans="1:10" ht="18.75" customHeight="1"/>
    <row r="26" spans="1:10">
      <c r="A26" s="6" t="s">
        <v>2535</v>
      </c>
      <c r="B26" t="s">
        <v>2519</v>
      </c>
    </row>
    <row r="27" spans="1:10">
      <c r="A27" s="7">
        <v>0</v>
      </c>
      <c r="B27" s="5">
        <v>175</v>
      </c>
    </row>
    <row r="28" spans="1:10">
      <c r="A28" s="7">
        <v>1</v>
      </c>
      <c r="B28" s="5">
        <v>888</v>
      </c>
      <c r="D28" s="6" t="s">
        <v>2519</v>
      </c>
      <c r="E28" s="6" t="s">
        <v>2532</v>
      </c>
    </row>
    <row r="29" spans="1:10">
      <c r="A29" s="7">
        <v>2</v>
      </c>
      <c r="B29" s="5">
        <v>538</v>
      </c>
      <c r="D29" s="6" t="s">
        <v>2535</v>
      </c>
      <c r="E29">
        <v>1</v>
      </c>
      <c r="F29">
        <v>2</v>
      </c>
      <c r="G29">
        <v>3</v>
      </c>
      <c r="H29">
        <v>4</v>
      </c>
      <c r="I29">
        <v>5</v>
      </c>
      <c r="J29" t="s">
        <v>2527</v>
      </c>
    </row>
    <row r="30" spans="1:10">
      <c r="A30" s="7">
        <v>3</v>
      </c>
      <c r="B30" s="5">
        <v>344</v>
      </c>
      <c r="D30" s="7" t="s">
        <v>2536</v>
      </c>
      <c r="E30" s="5">
        <v>7</v>
      </c>
      <c r="F30" s="5">
        <v>37</v>
      </c>
      <c r="G30" s="5">
        <v>150</v>
      </c>
      <c r="H30" s="5">
        <v>312</v>
      </c>
      <c r="I30" s="5">
        <v>224</v>
      </c>
      <c r="J30" s="5">
        <v>730</v>
      </c>
    </row>
    <row r="31" spans="1:10">
      <c r="A31" s="7">
        <v>4</v>
      </c>
      <c r="B31" s="5">
        <v>200</v>
      </c>
      <c r="D31" s="7" t="s">
        <v>2537</v>
      </c>
      <c r="E31" s="5">
        <v>8</v>
      </c>
      <c r="F31" s="5">
        <v>51</v>
      </c>
      <c r="G31" s="5">
        <v>182</v>
      </c>
      <c r="H31" s="5">
        <v>373</v>
      </c>
      <c r="I31" s="5">
        <v>247</v>
      </c>
      <c r="J31" s="5">
        <v>861</v>
      </c>
    </row>
    <row r="32" spans="1:10">
      <c r="A32" s="7">
        <v>5</v>
      </c>
      <c r="B32" s="5">
        <v>94</v>
      </c>
      <c r="D32" s="7" t="s">
        <v>2538</v>
      </c>
      <c r="E32" s="5">
        <v>6</v>
      </c>
      <c r="F32" s="5">
        <v>39</v>
      </c>
      <c r="G32" s="5">
        <v>163</v>
      </c>
      <c r="H32" s="5">
        <v>351</v>
      </c>
      <c r="I32" s="5">
        <v>250</v>
      </c>
      <c r="J32" s="5">
        <v>809</v>
      </c>
    </row>
    <row r="33" spans="1:11">
      <c r="A33" s="7">
        <v>6</v>
      </c>
      <c r="B33" s="5">
        <v>51</v>
      </c>
      <c r="D33" s="7" t="s">
        <v>2527</v>
      </c>
      <c r="E33" s="5">
        <v>21</v>
      </c>
      <c r="F33" s="5">
        <v>127</v>
      </c>
      <c r="G33" s="5">
        <v>495</v>
      </c>
      <c r="H33" s="5">
        <v>1036</v>
      </c>
      <c r="I33" s="5">
        <v>721</v>
      </c>
      <c r="J33" s="5">
        <v>2400</v>
      </c>
    </row>
    <row r="34" spans="1:11">
      <c r="A34" s="7">
        <v>7</v>
      </c>
      <c r="B34" s="5">
        <v>32</v>
      </c>
    </row>
    <row r="35" spans="1:11">
      <c r="A35" s="7">
        <v>8</v>
      </c>
      <c r="B35" s="5">
        <v>23</v>
      </c>
    </row>
    <row r="36" spans="1:11">
      <c r="A36" s="7">
        <v>9</v>
      </c>
      <c r="B36" s="5">
        <v>9</v>
      </c>
    </row>
    <row r="37" spans="1:11">
      <c r="A37" s="7">
        <v>10</v>
      </c>
      <c r="B37" s="5">
        <v>8</v>
      </c>
    </row>
    <row r="38" spans="1:11">
      <c r="A38" s="7">
        <v>11</v>
      </c>
      <c r="B38" s="5">
        <v>11</v>
      </c>
    </row>
    <row r="39" spans="1:11">
      <c r="A39" s="7">
        <v>12</v>
      </c>
      <c r="B39" s="5">
        <v>4</v>
      </c>
    </row>
    <row r="40" spans="1:11">
      <c r="A40" s="7">
        <v>13</v>
      </c>
      <c r="B40" s="5">
        <v>10</v>
      </c>
    </row>
    <row r="41" spans="1:11">
      <c r="A41" s="7">
        <v>14</v>
      </c>
      <c r="B41" s="5">
        <v>13</v>
      </c>
    </row>
    <row r="42" spans="1:11">
      <c r="A42" s="7" t="s">
        <v>2527</v>
      </c>
      <c r="B42" s="5">
        <v>2400</v>
      </c>
      <c r="D42" s="6" t="s">
        <v>2535</v>
      </c>
      <c r="E42" t="s">
        <v>2520</v>
      </c>
      <c r="J42" t="s">
        <v>2540</v>
      </c>
    </row>
    <row r="43" spans="1:11">
      <c r="D43" s="7" t="s">
        <v>33</v>
      </c>
      <c r="E43" s="5">
        <v>3991</v>
      </c>
      <c r="J43" t="str">
        <f>D43</f>
        <v>Los Angeles County</v>
      </c>
      <c r="K43">
        <f>E43</f>
        <v>3991</v>
      </c>
    </row>
    <row r="44" spans="1:11">
      <c r="D44" s="7" t="s">
        <v>62</v>
      </c>
      <c r="E44" s="5">
        <v>1768</v>
      </c>
      <c r="J44" t="str">
        <f t="shared" ref="J44:K47" si="1">D44</f>
        <v>San Diego County</v>
      </c>
      <c r="K44">
        <f t="shared" si="1"/>
        <v>1768</v>
      </c>
    </row>
    <row r="45" spans="1:11">
      <c r="D45" s="7" t="s">
        <v>77</v>
      </c>
      <c r="E45" s="5">
        <v>737</v>
      </c>
      <c r="J45" t="str">
        <f t="shared" si="1"/>
        <v>Santa Clara County</v>
      </c>
      <c r="K45">
        <f t="shared" si="1"/>
        <v>737</v>
      </c>
    </row>
    <row r="46" spans="1:11">
      <c r="D46" s="7" t="s">
        <v>55</v>
      </c>
      <c r="E46" s="5">
        <v>699</v>
      </c>
      <c r="J46" t="str">
        <f t="shared" si="1"/>
        <v>Sacramento County</v>
      </c>
      <c r="K46">
        <f t="shared" si="1"/>
        <v>699</v>
      </c>
    </row>
    <row r="47" spans="1:11">
      <c r="D47" s="7" t="s">
        <v>115</v>
      </c>
      <c r="E47" s="5">
        <v>579</v>
      </c>
      <c r="J47" t="str">
        <f t="shared" si="1"/>
        <v>Alameda County</v>
      </c>
      <c r="K47">
        <f t="shared" si="1"/>
        <v>579</v>
      </c>
    </row>
    <row r="48" spans="1:11">
      <c r="D48" s="7" t="s">
        <v>72</v>
      </c>
      <c r="E48" s="5">
        <v>364</v>
      </c>
    </row>
    <row r="49" spans="4:5">
      <c r="D49" s="7" t="s">
        <v>59</v>
      </c>
      <c r="E49" s="5">
        <v>356</v>
      </c>
    </row>
    <row r="50" spans="4:5">
      <c r="D50" s="7" t="s">
        <v>24</v>
      </c>
      <c r="E50" s="5">
        <v>341</v>
      </c>
    </row>
    <row r="51" spans="4:5">
      <c r="D51" s="7" t="s">
        <v>103</v>
      </c>
      <c r="E51" s="5">
        <v>307</v>
      </c>
    </row>
    <row r="52" spans="4:5">
      <c r="D52" s="7" t="s">
        <v>108</v>
      </c>
      <c r="E52" s="5">
        <v>295</v>
      </c>
    </row>
    <row r="53" spans="4:5">
      <c r="D53" s="7" t="s">
        <v>28</v>
      </c>
      <c r="E53" s="5">
        <v>279</v>
      </c>
    </row>
    <row r="54" spans="4:5">
      <c r="D54" s="7" t="s">
        <v>147</v>
      </c>
      <c r="E54" s="5">
        <v>222</v>
      </c>
    </row>
    <row r="55" spans="4:5">
      <c r="D55" s="7" t="s">
        <v>110</v>
      </c>
      <c r="E55" s="5">
        <v>195</v>
      </c>
    </row>
    <row r="56" spans="4:5">
      <c r="D56" s="7" t="s">
        <v>82</v>
      </c>
      <c r="E56" s="5">
        <v>179</v>
      </c>
    </row>
    <row r="57" spans="4:5">
      <c r="D57" s="7" t="s">
        <v>158</v>
      </c>
      <c r="E57" s="5">
        <v>178</v>
      </c>
    </row>
    <row r="58" spans="4:5">
      <c r="D58" s="7" t="s">
        <v>188</v>
      </c>
      <c r="E58" s="5">
        <v>178</v>
      </c>
    </row>
    <row r="59" spans="4:5">
      <c r="D59" s="7" t="s">
        <v>52</v>
      </c>
      <c r="E59" s="5">
        <v>141</v>
      </c>
    </row>
    <row r="60" spans="4:5">
      <c r="D60" s="7" t="s">
        <v>201</v>
      </c>
      <c r="E60" s="5">
        <v>117</v>
      </c>
    </row>
    <row r="61" spans="4:5">
      <c r="D61" s="7" t="s">
        <v>74</v>
      </c>
      <c r="E61" s="5">
        <v>95</v>
      </c>
    </row>
    <row r="62" spans="4:5">
      <c r="D62" s="7" t="s">
        <v>113</v>
      </c>
      <c r="E62" s="5">
        <v>94</v>
      </c>
    </row>
    <row r="63" spans="4:5">
      <c r="D63" s="7" t="s">
        <v>98</v>
      </c>
      <c r="E63" s="5">
        <v>88</v>
      </c>
    </row>
    <row r="64" spans="4:5">
      <c r="D64" s="7" t="s">
        <v>186</v>
      </c>
      <c r="E64" s="5">
        <v>60</v>
      </c>
    </row>
    <row r="65" spans="4:5">
      <c r="D65" s="7" t="s">
        <v>331</v>
      </c>
      <c r="E65" s="5">
        <v>59</v>
      </c>
    </row>
    <row r="66" spans="4:5">
      <c r="D66" s="7" t="s">
        <v>1116</v>
      </c>
      <c r="E66" s="5">
        <v>56</v>
      </c>
    </row>
    <row r="67" spans="4:5">
      <c r="D67" s="7" t="s">
        <v>377</v>
      </c>
      <c r="E67" s="5">
        <v>52</v>
      </c>
    </row>
    <row r="68" spans="4:5">
      <c r="D68" s="7" t="s">
        <v>587</v>
      </c>
      <c r="E68" s="5">
        <v>49</v>
      </c>
    </row>
    <row r="69" spans="4:5">
      <c r="D69" s="7" t="s">
        <v>364</v>
      </c>
      <c r="E69" s="5">
        <v>45</v>
      </c>
    </row>
    <row r="70" spans="4:5">
      <c r="D70" s="7" t="s">
        <v>309</v>
      </c>
      <c r="E70" s="5">
        <v>39</v>
      </c>
    </row>
    <row r="71" spans="4:5">
      <c r="D71" s="7" t="s">
        <v>545</v>
      </c>
      <c r="E71" s="5">
        <v>39</v>
      </c>
    </row>
    <row r="72" spans="4:5">
      <c r="D72" s="7" t="s">
        <v>334</v>
      </c>
      <c r="E72" s="5">
        <v>36</v>
      </c>
    </row>
    <row r="73" spans="4:5">
      <c r="D73" s="7" t="s">
        <v>967</v>
      </c>
      <c r="E73" s="5">
        <v>35</v>
      </c>
    </row>
    <row r="74" spans="4:5">
      <c r="D74" s="7" t="s">
        <v>437</v>
      </c>
      <c r="E74" s="5">
        <v>31</v>
      </c>
    </row>
    <row r="75" spans="4:5">
      <c r="D75" s="7" t="s">
        <v>802</v>
      </c>
      <c r="E75" s="5">
        <v>31</v>
      </c>
    </row>
    <row r="76" spans="4:5">
      <c r="D76" s="7" t="s">
        <v>949</v>
      </c>
      <c r="E76" s="5">
        <v>30</v>
      </c>
    </row>
    <row r="77" spans="4:5">
      <c r="D77" s="7" t="s">
        <v>997</v>
      </c>
      <c r="E77" s="5">
        <v>28</v>
      </c>
    </row>
    <row r="78" spans="4:5">
      <c r="D78" s="7" t="s">
        <v>49</v>
      </c>
      <c r="E78" s="5">
        <v>25</v>
      </c>
    </row>
    <row r="79" spans="4:5">
      <c r="D79" s="7" t="s">
        <v>342</v>
      </c>
      <c r="E79" s="5">
        <v>23</v>
      </c>
    </row>
    <row r="80" spans="4:5">
      <c r="D80" s="7" t="s">
        <v>292</v>
      </c>
      <c r="E80" s="5">
        <v>20</v>
      </c>
    </row>
    <row r="81" spans="4:5">
      <c r="D81" s="7" t="s">
        <v>243</v>
      </c>
      <c r="E81" s="5">
        <v>15</v>
      </c>
    </row>
    <row r="82" spans="4:5">
      <c r="D82" s="7" t="s">
        <v>429</v>
      </c>
      <c r="E82" s="5">
        <v>13</v>
      </c>
    </row>
    <row r="83" spans="4:5">
      <c r="D83" s="7" t="s">
        <v>2204</v>
      </c>
      <c r="E83" s="5">
        <v>13</v>
      </c>
    </row>
    <row r="84" spans="4:5">
      <c r="D84" s="7" t="s">
        <v>84</v>
      </c>
      <c r="E84" s="5">
        <v>12</v>
      </c>
    </row>
    <row r="85" spans="4:5">
      <c r="D85" s="7" t="s">
        <v>258</v>
      </c>
      <c r="E85" s="5">
        <v>9</v>
      </c>
    </row>
    <row r="86" spans="4:5">
      <c r="D86" s="7" t="s">
        <v>641</v>
      </c>
      <c r="E86" s="5">
        <v>9</v>
      </c>
    </row>
    <row r="87" spans="4:5">
      <c r="D87" s="7" t="s">
        <v>208</v>
      </c>
      <c r="E87" s="5">
        <v>9</v>
      </c>
    </row>
    <row r="88" spans="4:5">
      <c r="D88" s="7" t="s">
        <v>86</v>
      </c>
      <c r="E88" s="5">
        <v>8</v>
      </c>
    </row>
    <row r="89" spans="4:5">
      <c r="D89" s="7" t="s">
        <v>268</v>
      </c>
      <c r="E89" s="5">
        <v>8</v>
      </c>
    </row>
    <row r="90" spans="4:5">
      <c r="D90" s="7" t="s">
        <v>416</v>
      </c>
      <c r="E90" s="5">
        <v>6</v>
      </c>
    </row>
    <row r="91" spans="4:5">
      <c r="D91" s="7" t="s">
        <v>79</v>
      </c>
      <c r="E91" s="5">
        <v>6</v>
      </c>
    </row>
    <row r="92" spans="4:5">
      <c r="D92" s="7" t="s">
        <v>338</v>
      </c>
      <c r="E92" s="5">
        <v>6</v>
      </c>
    </row>
    <row r="93" spans="4:5">
      <c r="D93" s="7" t="s">
        <v>608</v>
      </c>
      <c r="E93" s="5">
        <v>5</v>
      </c>
    </row>
    <row r="94" spans="4:5">
      <c r="D94" s="7" t="s">
        <v>670</v>
      </c>
      <c r="E94" s="5">
        <v>4</v>
      </c>
    </row>
    <row r="95" spans="4:5">
      <c r="D95" s="7" t="s">
        <v>1383</v>
      </c>
      <c r="E95" s="5">
        <v>4</v>
      </c>
    </row>
    <row r="96" spans="4:5">
      <c r="D96" s="7" t="s">
        <v>1911</v>
      </c>
      <c r="E96" s="5">
        <v>3</v>
      </c>
    </row>
    <row r="97" spans="4:5">
      <c r="D97" s="7" t="s">
        <v>392</v>
      </c>
      <c r="E97" s="5">
        <v>2</v>
      </c>
    </row>
    <row r="98" spans="4:5">
      <c r="D98" s="7" t="s">
        <v>700</v>
      </c>
      <c r="E98" s="5">
        <v>2</v>
      </c>
    </row>
    <row r="99" spans="4:5">
      <c r="D99" s="7" t="s">
        <v>1426</v>
      </c>
      <c r="E99" s="5">
        <v>1</v>
      </c>
    </row>
    <row r="100" spans="4:5">
      <c r="D100" s="7" t="s">
        <v>20</v>
      </c>
      <c r="E100" s="5">
        <v>1</v>
      </c>
    </row>
    <row r="101" spans="4:5">
      <c r="D101" s="7" t="s">
        <v>2527</v>
      </c>
      <c r="E101" s="5">
        <v>11997</v>
      </c>
    </row>
  </sheetData>
  <pageMargins left="0.7" right="0.7" top="0.75" bottom="0.75" header="0.3" footer="0.3"/>
  <pageSetup paperSize="9" orientation="portrait" horizontalDpi="300" verticalDpi="3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49"/>
  <sheetViews>
    <sheetView zoomScale="70" zoomScaleNormal="70" workbookViewId="0">
      <selection activeCell="G64" sqref="G64"/>
    </sheetView>
  </sheetViews>
  <sheetFormatPr defaultRowHeight="14.25"/>
  <cols>
    <col min="1" max="1" width="19.75" customWidth="1"/>
    <col min="2" max="2" width="19" customWidth="1"/>
    <col min="3" max="3" width="6.5" customWidth="1"/>
    <col min="4" max="4" width="7.125" customWidth="1"/>
    <col min="5" max="5" width="10.5" bestFit="1" customWidth="1"/>
    <col min="6" max="6" width="13.125" bestFit="1" customWidth="1"/>
    <col min="8" max="8" width="10.5" bestFit="1" customWidth="1"/>
    <col min="9" max="9" width="15.625" customWidth="1"/>
    <col min="10" max="10" width="17.5" customWidth="1"/>
    <col min="11" max="11" width="5.125" customWidth="1"/>
    <col min="12" max="12" width="6" customWidth="1"/>
    <col min="13" max="13" width="9.125" bestFit="1" customWidth="1"/>
    <col min="14" max="14" width="11.375" bestFit="1" customWidth="1"/>
  </cols>
  <sheetData>
    <row r="3" spans="1:12">
      <c r="A3" s="6" t="s">
        <v>2521</v>
      </c>
      <c r="B3" s="6" t="s">
        <v>2532</v>
      </c>
    </row>
    <row r="4" spans="1:12" ht="15" thickBot="1">
      <c r="A4" s="6" t="s">
        <v>2526</v>
      </c>
      <c r="B4" t="s">
        <v>2530</v>
      </c>
      <c r="C4" t="s">
        <v>2529</v>
      </c>
      <c r="D4" t="s">
        <v>2531</v>
      </c>
      <c r="E4" t="s">
        <v>2528</v>
      </c>
      <c r="F4" t="s">
        <v>2527</v>
      </c>
    </row>
    <row r="5" spans="1:12" ht="28.5" customHeight="1" thickTop="1" thickBot="1">
      <c r="A5" s="7" t="s">
        <v>18</v>
      </c>
      <c r="B5" s="9">
        <v>0.18961825201634841</v>
      </c>
      <c r="C5" s="9">
        <v>0.12262322351336576</v>
      </c>
      <c r="D5" s="9">
        <v>1.060537752469185E-2</v>
      </c>
      <c r="E5" s="9">
        <v>3.0599220547662797E-2</v>
      </c>
      <c r="F5" s="9">
        <v>0.35344607360206881</v>
      </c>
      <c r="H5" s="11"/>
      <c r="I5" s="11" t="s">
        <v>2530</v>
      </c>
      <c r="J5" s="11" t="s">
        <v>2529</v>
      </c>
      <c r="K5" s="11" t="s">
        <v>2531</v>
      </c>
      <c r="L5" s="11" t="s">
        <v>2528</v>
      </c>
    </row>
    <row r="6" spans="1:12" ht="19.5" customHeight="1" thickTop="1" thickBot="1">
      <c r="A6" s="7" t="s">
        <v>51</v>
      </c>
      <c r="B6" s="9">
        <v>5.0283982091147303E-2</v>
      </c>
      <c r="C6" s="9">
        <v>4.3060781812819873E-2</v>
      </c>
      <c r="D6" s="9">
        <v>1.5320025675641944E-3</v>
      </c>
      <c r="E6" s="9">
        <v>1.7794988689097006E-2</v>
      </c>
      <c r="F6" s="9">
        <v>0.11267175516062837</v>
      </c>
      <c r="H6" s="11" t="str">
        <f t="shared" ref="H6:L10" si="0">A5</f>
        <v>App</v>
      </c>
      <c r="I6" s="10">
        <f t="shared" si="0"/>
        <v>0.18961825201634841</v>
      </c>
      <c r="J6" s="10">
        <f t="shared" si="0"/>
        <v>0.12262322351336576</v>
      </c>
      <c r="K6" s="10">
        <f t="shared" si="0"/>
        <v>1.060537752469185E-2</v>
      </c>
      <c r="L6" s="10">
        <f t="shared" si="0"/>
        <v>3.0599220547662797E-2</v>
      </c>
    </row>
    <row r="7" spans="1:12" ht="15.75" thickTop="1" thickBot="1">
      <c r="A7" s="7" t="s">
        <v>70</v>
      </c>
      <c r="B7" s="9">
        <v>6.3496059750411282E-2</v>
      </c>
      <c r="C7" s="9">
        <v>4.6071629863988765E-2</v>
      </c>
      <c r="D7" s="9">
        <v>2.306247051322625E-3</v>
      </c>
      <c r="E7" s="9">
        <v>3.8927934093844286E-3</v>
      </c>
      <c r="F7" s="9">
        <v>0.11576673007510711</v>
      </c>
      <c r="H7" s="11" t="str">
        <f t="shared" si="0"/>
        <v>Instagram</v>
      </c>
      <c r="I7" s="10">
        <f t="shared" si="0"/>
        <v>5.0283982091147303E-2</v>
      </c>
      <c r="J7" s="10">
        <f t="shared" si="0"/>
        <v>4.3060781812819873E-2</v>
      </c>
      <c r="K7" s="10">
        <f t="shared" si="0"/>
        <v>1.5320025675641944E-3</v>
      </c>
      <c r="L7" s="10">
        <f t="shared" si="0"/>
        <v>1.7794988689097006E-2</v>
      </c>
    </row>
    <row r="8" spans="1:12" ht="15.75" thickTop="1" thickBot="1">
      <c r="A8" s="7" t="s">
        <v>40</v>
      </c>
      <c r="B8" s="9">
        <v>9.6337892927149532E-2</v>
      </c>
      <c r="C8" s="9">
        <v>6.7920115842382611E-2</v>
      </c>
      <c r="D8" s="9">
        <v>5.4979832664581261E-3</v>
      </c>
      <c r="E8" s="9">
        <v>1.2933041488102518E-2</v>
      </c>
      <c r="F8" s="9">
        <v>0.1826890335240928</v>
      </c>
      <c r="H8" s="11" t="str">
        <f t="shared" si="0"/>
        <v>Partner App</v>
      </c>
      <c r="I8" s="10">
        <f t="shared" si="0"/>
        <v>6.3496059750411282E-2</v>
      </c>
      <c r="J8" s="10">
        <f t="shared" si="0"/>
        <v>4.6071629863988765E-2</v>
      </c>
      <c r="K8" s="10">
        <f t="shared" si="0"/>
        <v>2.306247051322625E-3</v>
      </c>
      <c r="L8" s="10">
        <f t="shared" si="0"/>
        <v>3.8927934093844286E-3</v>
      </c>
    </row>
    <row r="9" spans="1:12" ht="15.75" thickTop="1" thickBot="1">
      <c r="A9" s="7" t="s">
        <v>35</v>
      </c>
      <c r="B9" s="9">
        <v>0.12522098709469262</v>
      </c>
      <c r="C9" s="9">
        <v>9.1492740283116228E-2</v>
      </c>
      <c r="D9" s="9">
        <v>6.3042760790965081E-3</v>
      </c>
      <c r="E9" s="9">
        <v>1.2408404181197551E-2</v>
      </c>
      <c r="F9" s="9">
        <v>0.23542640763810288</v>
      </c>
      <c r="H9" s="11" t="str">
        <f t="shared" si="0"/>
        <v>Target.com</v>
      </c>
      <c r="I9" s="10">
        <f t="shared" si="0"/>
        <v>9.6337892927149532E-2</v>
      </c>
      <c r="J9" s="10">
        <f t="shared" si="0"/>
        <v>6.7920115842382611E-2</v>
      </c>
      <c r="K9" s="10">
        <f t="shared" si="0"/>
        <v>5.4979832664581261E-3</v>
      </c>
      <c r="L9" s="10">
        <f t="shared" si="0"/>
        <v>1.2933041488102518E-2</v>
      </c>
    </row>
    <row r="10" spans="1:12" ht="15.75" thickTop="1" thickBot="1">
      <c r="A10" s="7" t="s">
        <v>2527</v>
      </c>
      <c r="B10" s="9">
        <v>0.52495717387974916</v>
      </c>
      <c r="C10" s="9">
        <v>0.3711684913156732</v>
      </c>
      <c r="D10" s="9">
        <v>2.6245886489133303E-2</v>
      </c>
      <c r="E10" s="9">
        <v>7.7628448315444312E-2</v>
      </c>
      <c r="F10" s="9">
        <v>1</v>
      </c>
      <c r="H10" s="11" t="str">
        <f t="shared" si="0"/>
        <v>Website</v>
      </c>
      <c r="I10" s="10">
        <f t="shared" si="0"/>
        <v>0.12522098709469262</v>
      </c>
      <c r="J10" s="10">
        <f t="shared" si="0"/>
        <v>9.1492740283116228E-2</v>
      </c>
      <c r="K10" s="10">
        <f t="shared" si="0"/>
        <v>6.3042760790965081E-3</v>
      </c>
      <c r="L10" s="10">
        <f t="shared" si="0"/>
        <v>1.2408404181197551E-2</v>
      </c>
    </row>
    <row r="11" spans="1:12" ht="15" thickTop="1"/>
    <row r="16" spans="1:12">
      <c r="A16" s="6" t="s">
        <v>2526</v>
      </c>
      <c r="B16" t="s">
        <v>2519</v>
      </c>
    </row>
    <row r="17" spans="1:10">
      <c r="A17" s="7">
        <v>1</v>
      </c>
      <c r="B17" s="5">
        <v>397</v>
      </c>
    </row>
    <row r="18" spans="1:10">
      <c r="A18" s="7">
        <v>2</v>
      </c>
      <c r="B18" s="5">
        <v>540</v>
      </c>
    </row>
    <row r="19" spans="1:10">
      <c r="A19" s="7">
        <v>3</v>
      </c>
      <c r="B19" s="5">
        <v>375</v>
      </c>
    </row>
    <row r="20" spans="1:10">
      <c r="A20" s="7">
        <v>4</v>
      </c>
      <c r="B20" s="5">
        <v>246</v>
      </c>
    </row>
    <row r="21" spans="1:10">
      <c r="A21" s="7">
        <v>5</v>
      </c>
      <c r="B21" s="5">
        <v>195</v>
      </c>
    </row>
    <row r="22" spans="1:10">
      <c r="A22" s="7" t="s">
        <v>2533</v>
      </c>
      <c r="B22" s="5">
        <v>414</v>
      </c>
    </row>
    <row r="23" spans="1:10">
      <c r="A23" s="7" t="s">
        <v>2534</v>
      </c>
      <c r="B23" s="5">
        <v>233</v>
      </c>
    </row>
    <row r="24" spans="1:10">
      <c r="A24" s="7" t="s">
        <v>2527</v>
      </c>
      <c r="B24" s="5">
        <v>2400</v>
      </c>
    </row>
    <row r="27" spans="1:10">
      <c r="A27" s="6" t="s">
        <v>2520</v>
      </c>
      <c r="B27" s="6" t="s">
        <v>2532</v>
      </c>
    </row>
    <row r="28" spans="1:10">
      <c r="A28" s="6" t="s">
        <v>2526</v>
      </c>
      <c r="B28" t="s">
        <v>2530</v>
      </c>
      <c r="C28" t="s">
        <v>2529</v>
      </c>
      <c r="D28" t="s">
        <v>2531</v>
      </c>
      <c r="E28" t="s">
        <v>2528</v>
      </c>
      <c r="F28" t="s">
        <v>2527</v>
      </c>
    </row>
    <row r="29" spans="1:10">
      <c r="A29" s="7" t="s">
        <v>44</v>
      </c>
      <c r="B29" s="5">
        <v>744</v>
      </c>
      <c r="C29" s="5">
        <v>713</v>
      </c>
      <c r="D29" s="5">
        <v>90</v>
      </c>
      <c r="E29" s="5">
        <v>98</v>
      </c>
      <c r="F29" s="5">
        <v>1645</v>
      </c>
    </row>
    <row r="30" spans="1:10">
      <c r="A30" s="7" t="s">
        <v>39</v>
      </c>
      <c r="B30" s="5">
        <v>716</v>
      </c>
      <c r="C30" s="5">
        <v>598</v>
      </c>
      <c r="D30" s="5">
        <v>18</v>
      </c>
      <c r="E30" s="5">
        <v>214</v>
      </c>
      <c r="F30" s="5">
        <v>1546</v>
      </c>
    </row>
    <row r="31" spans="1:10">
      <c r="A31" s="7" t="s">
        <v>26</v>
      </c>
      <c r="B31" s="5">
        <v>627</v>
      </c>
      <c r="C31" s="5">
        <v>393</v>
      </c>
      <c r="D31" s="5">
        <v>29</v>
      </c>
      <c r="E31" s="5">
        <v>137</v>
      </c>
      <c r="F31" s="5">
        <v>1186</v>
      </c>
    </row>
    <row r="32" spans="1:10">
      <c r="A32" s="7" t="s">
        <v>22</v>
      </c>
      <c r="B32" s="5">
        <v>568</v>
      </c>
      <c r="C32" s="5">
        <v>306</v>
      </c>
      <c r="D32" s="5">
        <v>22</v>
      </c>
      <c r="E32" s="5">
        <v>16</v>
      </c>
      <c r="F32" s="5">
        <v>912</v>
      </c>
      <c r="I32" s="6" t="s">
        <v>2526</v>
      </c>
      <c r="J32" t="s">
        <v>2520</v>
      </c>
    </row>
    <row r="33" spans="1:10">
      <c r="A33" s="7" t="s">
        <v>54</v>
      </c>
      <c r="B33" s="5">
        <v>482</v>
      </c>
      <c r="C33" s="5">
        <v>295</v>
      </c>
      <c r="D33" s="5">
        <v>8</v>
      </c>
      <c r="E33" s="5">
        <v>22</v>
      </c>
      <c r="F33" s="5">
        <v>807</v>
      </c>
      <c r="I33" s="7" t="s">
        <v>2530</v>
      </c>
      <c r="J33" s="5">
        <v>6272</v>
      </c>
    </row>
    <row r="34" spans="1:10">
      <c r="A34" s="7" t="s">
        <v>46</v>
      </c>
      <c r="B34" s="5">
        <v>445</v>
      </c>
      <c r="C34" s="5">
        <v>202</v>
      </c>
      <c r="D34" s="5">
        <v>14</v>
      </c>
      <c r="E34" s="5">
        <v>39</v>
      </c>
      <c r="F34" s="5">
        <v>700</v>
      </c>
      <c r="I34" s="7" t="s">
        <v>2529</v>
      </c>
      <c r="J34" s="5">
        <v>4672</v>
      </c>
    </row>
    <row r="35" spans="1:10">
      <c r="A35" s="7" t="s">
        <v>32</v>
      </c>
      <c r="B35" s="5">
        <v>431</v>
      </c>
      <c r="C35" s="5">
        <v>187</v>
      </c>
      <c r="D35" s="5">
        <v>14</v>
      </c>
      <c r="E35" s="5">
        <v>15</v>
      </c>
      <c r="F35" s="5">
        <v>647</v>
      </c>
      <c r="I35" s="7" t="s">
        <v>2531</v>
      </c>
      <c r="J35" s="5">
        <v>317</v>
      </c>
    </row>
    <row r="36" spans="1:10">
      <c r="A36" s="7" t="s">
        <v>16</v>
      </c>
      <c r="B36" s="5">
        <v>428</v>
      </c>
      <c r="C36" s="5">
        <v>293</v>
      </c>
      <c r="D36" s="5"/>
      <c r="E36" s="5">
        <v>24</v>
      </c>
      <c r="F36" s="5">
        <v>745</v>
      </c>
      <c r="I36" s="7" t="s">
        <v>2528</v>
      </c>
      <c r="J36" s="5">
        <v>736</v>
      </c>
    </row>
    <row r="37" spans="1:10">
      <c r="A37" s="7" t="s">
        <v>37</v>
      </c>
      <c r="B37" s="5">
        <v>296</v>
      </c>
      <c r="C37" s="5">
        <v>275</v>
      </c>
      <c r="D37" s="5">
        <v>9</v>
      </c>
      <c r="E37" s="5">
        <v>23</v>
      </c>
      <c r="F37" s="5">
        <v>603</v>
      </c>
      <c r="I37" s="7" t="s">
        <v>2527</v>
      </c>
      <c r="J37" s="5">
        <v>11997</v>
      </c>
    </row>
    <row r="38" spans="1:10">
      <c r="A38" s="7" t="s">
        <v>42</v>
      </c>
      <c r="B38" s="5">
        <v>264</v>
      </c>
      <c r="C38" s="5">
        <v>318</v>
      </c>
      <c r="D38" s="5">
        <v>15</v>
      </c>
      <c r="E38" s="5">
        <v>9</v>
      </c>
      <c r="F38" s="5">
        <v>606</v>
      </c>
    </row>
    <row r="39" spans="1:10">
      <c r="A39" s="7" t="s">
        <v>69</v>
      </c>
      <c r="B39" s="5">
        <v>234</v>
      </c>
      <c r="C39" s="5">
        <v>93</v>
      </c>
      <c r="D39" s="5">
        <v>19</v>
      </c>
      <c r="E39" s="5">
        <v>24</v>
      </c>
      <c r="F39" s="5">
        <v>370</v>
      </c>
    </row>
    <row r="40" spans="1:10">
      <c r="A40" s="7" t="s">
        <v>146</v>
      </c>
      <c r="B40" s="5">
        <v>189</v>
      </c>
      <c r="C40" s="5">
        <v>168</v>
      </c>
      <c r="D40" s="5">
        <v>10</v>
      </c>
      <c r="E40" s="5">
        <v>31</v>
      </c>
      <c r="F40" s="5">
        <v>398</v>
      </c>
    </row>
    <row r="41" spans="1:10">
      <c r="A41" s="7" t="s">
        <v>67</v>
      </c>
      <c r="B41" s="5">
        <v>179</v>
      </c>
      <c r="C41" s="5">
        <v>76</v>
      </c>
      <c r="D41" s="5">
        <v>3</v>
      </c>
      <c r="E41" s="5"/>
      <c r="F41" s="5">
        <v>258</v>
      </c>
    </row>
    <row r="42" spans="1:10">
      <c r="A42" s="7" t="s">
        <v>123</v>
      </c>
      <c r="B42" s="5">
        <v>153</v>
      </c>
      <c r="C42" s="5">
        <v>246</v>
      </c>
      <c r="D42" s="5">
        <v>30</v>
      </c>
      <c r="E42" s="5">
        <v>8</v>
      </c>
      <c r="F42" s="5">
        <v>437</v>
      </c>
    </row>
    <row r="43" spans="1:10">
      <c r="A43" s="7" t="s">
        <v>30</v>
      </c>
      <c r="B43" s="5">
        <v>146</v>
      </c>
      <c r="C43" s="5">
        <v>94</v>
      </c>
      <c r="D43" s="5">
        <v>4</v>
      </c>
      <c r="E43" s="5">
        <v>28</v>
      </c>
      <c r="F43" s="5">
        <v>272</v>
      </c>
    </row>
    <row r="44" spans="1:10">
      <c r="A44" s="7" t="s">
        <v>135</v>
      </c>
      <c r="B44" s="5">
        <v>127</v>
      </c>
      <c r="C44" s="5">
        <v>118</v>
      </c>
      <c r="D44" s="5">
        <v>13</v>
      </c>
      <c r="E44" s="5">
        <v>12</v>
      </c>
      <c r="F44" s="5">
        <v>270</v>
      </c>
    </row>
    <row r="45" spans="1:10">
      <c r="A45" s="7" t="s">
        <v>128</v>
      </c>
      <c r="B45" s="5">
        <v>99</v>
      </c>
      <c r="C45" s="5">
        <v>69</v>
      </c>
      <c r="D45" s="5">
        <v>3</v>
      </c>
      <c r="E45" s="5">
        <v>24</v>
      </c>
      <c r="F45" s="5">
        <v>195</v>
      </c>
    </row>
    <row r="46" spans="1:10">
      <c r="A46" s="7" t="s">
        <v>76</v>
      </c>
      <c r="B46" s="5">
        <v>75</v>
      </c>
      <c r="C46" s="5">
        <v>103</v>
      </c>
      <c r="D46" s="5">
        <v>4</v>
      </c>
      <c r="E46" s="5">
        <v>6</v>
      </c>
      <c r="F46" s="5">
        <v>188</v>
      </c>
    </row>
    <row r="47" spans="1:10">
      <c r="A47" s="7" t="s">
        <v>81</v>
      </c>
      <c r="B47" s="5">
        <v>43</v>
      </c>
      <c r="C47" s="5">
        <v>90</v>
      </c>
      <c r="D47" s="5">
        <v>8</v>
      </c>
      <c r="E47" s="5">
        <v>6</v>
      </c>
      <c r="F47" s="5">
        <v>147</v>
      </c>
    </row>
    <row r="48" spans="1:10">
      <c r="A48" s="7" t="s">
        <v>171</v>
      </c>
      <c r="B48" s="5">
        <v>26</v>
      </c>
      <c r="C48" s="5">
        <v>35</v>
      </c>
      <c r="D48" s="5">
        <v>4</v>
      </c>
      <c r="E48" s="5"/>
      <c r="F48" s="5">
        <v>65</v>
      </c>
    </row>
    <row r="49" spans="1:6">
      <c r="A49" s="7" t="s">
        <v>2527</v>
      </c>
      <c r="B49" s="5">
        <v>6272</v>
      </c>
      <c r="C49" s="5">
        <v>4672</v>
      </c>
      <c r="D49" s="5">
        <v>317</v>
      </c>
      <c r="E49" s="5">
        <v>736</v>
      </c>
      <c r="F49" s="5">
        <v>11997</v>
      </c>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Dashbord</vt:lpstr>
      <vt:lpstr>Data</vt:lpstr>
      <vt:lpstr>Questions &amp; KPIs</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HP</cp:lastModifiedBy>
  <dcterms:created xsi:type="dcterms:W3CDTF">2025-06-13T02:42:26Z</dcterms:created>
  <dcterms:modified xsi:type="dcterms:W3CDTF">2026-02-22T08:25:49Z</dcterms:modified>
</cp:coreProperties>
</file>